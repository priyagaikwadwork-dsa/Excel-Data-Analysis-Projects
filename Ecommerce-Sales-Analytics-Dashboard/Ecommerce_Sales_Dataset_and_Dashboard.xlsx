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riya\Desktop\Speedup\Data Science\Advance excel\Advance Excel Project\Project 1 Sales Ecommerce\"/>
    </mc:Choice>
  </mc:AlternateContent>
  <xr:revisionPtr revIDLastSave="0" documentId="13_ncr:1_{624A3F91-80F2-42EA-A1F6-482A3DDC76A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aset" sheetId="12" r:id="rId1"/>
    <sheet name="Questions" sheetId="19" r:id="rId2"/>
    <sheet name="Pivot Tables" sheetId="21" r:id="rId3"/>
    <sheet name="Dashboard1" sheetId="26" r:id="rId4"/>
    <sheet name="Dashboard2" sheetId="27" r:id="rId5"/>
  </sheets>
  <definedNames>
    <definedName name="_xlchart.v2.0" hidden="1">Questions!$M$83:$M$101</definedName>
    <definedName name="_xlchart.v2.1" hidden="1">Questions!$N$83:$N$101</definedName>
    <definedName name="_xlchart.v2.2" hidden="1">Questions!$M$83:$M$101</definedName>
    <definedName name="_xlchart.v2.3" hidden="1">Questions!$N$83:$N$101</definedName>
    <definedName name="Slicer_Category">#N/A</definedName>
    <definedName name="Slicer_Region">#N/A</definedName>
    <definedName name="Slicer_Year1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9" l="1"/>
  <c r="B62" i="19"/>
  <c r="B61" i="19"/>
  <c r="B60" i="19"/>
  <c r="E21" i="12"/>
  <c r="D21" i="12"/>
  <c r="E20" i="12"/>
  <c r="D20" i="12"/>
  <c r="E19" i="12"/>
  <c r="D19" i="12"/>
  <c r="E18" i="12"/>
  <c r="D18" i="12"/>
  <c r="E17" i="12"/>
  <c r="D17" i="12"/>
  <c r="E16" i="12"/>
  <c r="D16" i="12"/>
  <c r="E15" i="12"/>
  <c r="D15" i="12"/>
  <c r="E14" i="12"/>
  <c r="D14" i="12"/>
  <c r="E13" i="12"/>
  <c r="D13" i="12"/>
  <c r="E12" i="12"/>
  <c r="D12" i="12"/>
  <c r="E11" i="12"/>
  <c r="D11" i="12"/>
  <c r="E10" i="12"/>
  <c r="D10" i="12"/>
  <c r="E9" i="12"/>
  <c r="D9" i="12"/>
  <c r="E8" i="12"/>
  <c r="D8" i="12"/>
  <c r="E7" i="12"/>
  <c r="D7" i="12"/>
  <c r="E6" i="12"/>
  <c r="D6" i="12"/>
  <c r="E5" i="12"/>
  <c r="D5" i="12"/>
  <c r="E4" i="12"/>
  <c r="D4" i="12"/>
  <c r="E3" i="12"/>
  <c r="D3" i="12"/>
  <c r="E2" i="12"/>
  <c r="D2" i="12"/>
  <c r="N76" i="19"/>
  <c r="N87" i="19"/>
  <c r="N90" i="19"/>
  <c r="N75" i="19"/>
  <c r="N78" i="19"/>
  <c r="N71" i="19"/>
  <c r="N97" i="19"/>
  <c r="N86" i="19"/>
  <c r="N77" i="19"/>
  <c r="N99" i="19"/>
  <c r="N73" i="19"/>
  <c r="N70" i="19"/>
  <c r="N94" i="19"/>
  <c r="N91" i="19"/>
  <c r="N72" i="19"/>
  <c r="N83" i="19"/>
  <c r="N89" i="19"/>
  <c r="N74" i="19"/>
  <c r="N100" i="19"/>
  <c r="N93" i="19"/>
  <c r="N96" i="19"/>
  <c r="N69" i="19"/>
  <c r="N85" i="19"/>
  <c r="N92" i="19"/>
  <c r="N84" i="19"/>
  <c r="N101" i="19"/>
  <c r="N88" i="19"/>
  <c r="N95" i="19"/>
  <c r="N98" i="19"/>
</calcChain>
</file>

<file path=xl/sharedStrings.xml><?xml version="1.0" encoding="utf-8"?>
<sst xmlns="http://schemas.openxmlformats.org/spreadsheetml/2006/main" count="567" uniqueCount="185">
  <si>
    <t>Row ID</t>
  </si>
  <si>
    <t>Order ID</t>
  </si>
  <si>
    <t>Order Date</t>
  </si>
  <si>
    <t>Year</t>
  </si>
  <si>
    <t>Month</t>
  </si>
  <si>
    <t>Ship Date</t>
  </si>
  <si>
    <t>Ship Mode</t>
  </si>
  <si>
    <t>Customer ID</t>
  </si>
  <si>
    <t>Customer Name</t>
  </si>
  <si>
    <t>Birthdate2</t>
  </si>
  <si>
    <t>ColumAge customern1</t>
  </si>
  <si>
    <t>Age grp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</si>
  <si>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</si>
  <si>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</si>
  <si>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</si>
  <si>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</si>
  <si>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</si>
  <si>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</si>
  <si>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</si>
  <si>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</si>
  <si>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</si>
  <si>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</si>
  <si>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</si>
  <si>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</si>
  <si>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</si>
  <si>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</si>
  <si>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grp discount2</t>
  </si>
  <si>
    <t>CA-2016-152156</t>
  </si>
  <si>
    <t>Second Class</t>
  </si>
  <si>
    <t>CG-12520</t>
  </si>
  <si>
    <t>Claire Gute</t>
  </si>
  <si>
    <t>Senior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</si>
  <si>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</si>
  <si>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</si>
  <si>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</si>
  <si>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</si>
  <si>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</si>
  <si>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</si>
  <si>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</si>
  <si>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</si>
  <si>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</si>
  <si>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 Discount</t>
  </si>
  <si>
    <t>FUR-CH-10000454</t>
  </si>
  <si>
    <t>Chairs</t>
  </si>
  <si>
    <t>Hon Deluxe Fabric Upholstered Stacking Chairs, Rounded Back</t>
  </si>
  <si>
    <t>CA-2015-106320</t>
  </si>
  <si>
    <t>Standard Class</t>
  </si>
  <si>
    <t>EB-13870</t>
  </si>
  <si>
    <t>Emily Burns</t>
  </si>
  <si>
    <t>Teenager</t>
  </si>
  <si>
    <t>Orem</t>
  </si>
  <si>
    <t>Utah</t>
  </si>
  <si>
    <t>West</t>
  </si>
  <si>
    <t>FUR-TA-10000577</t>
  </si>
  <si>
    <t>Tables</t>
  </si>
  <si>
    <t>Bretford CR4500 Series Slim Rectangular Table</t>
  </si>
  <si>
    <t>US-2015-108966</t>
  </si>
  <si>
    <t>SO-20335</t>
  </si>
  <si>
    <t>Sean O'Donnell</t>
  </si>
  <si>
    <t>Fort Lauderdale</t>
  </si>
  <si>
    <t>Florida</t>
  </si>
  <si>
    <t>Between 0 to 5% discount</t>
  </si>
  <si>
    <t>Adult</t>
  </si>
  <si>
    <t>OFF-ST-10000760</t>
  </si>
  <si>
    <t>Office Supplies</t>
  </si>
  <si>
    <t>Storage</t>
  </si>
  <si>
    <t>Eldon Fold 'N Roll Cart System</t>
  </si>
  <si>
    <t>CA-2014-115812</t>
  </si>
  <si>
    <t>BH-11710</t>
  </si>
  <si>
    <t>Brosina Hoffman</t>
  </si>
  <si>
    <t>Los Angeles</t>
  </si>
  <si>
    <t>California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</si>
  <si>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</si>
  <si>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</si>
  <si>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</si>
  <si>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</si>
  <si>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</si>
  <si>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</si>
  <si>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</si>
  <si>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</si>
  <si>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</si>
  <si>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</si>
  <si>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</si>
  <si>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</si>
  <si>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</si>
  <si>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</si>
  <si>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</si>
  <si>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</si>
  <si>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</si>
  <si>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</si>
  <si>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</si>
  <si>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</si>
  <si>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</si>
  <si>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</si>
  <si>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</si>
  <si>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</si>
  <si>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</si>
  <si>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</si>
  <si>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</si>
  <si>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</si>
  <si>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</si>
  <si>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</si>
  <si>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</si>
  <si>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</si>
  <si>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</si>
  <si>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</si>
  <si>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</si>
  <si>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</si>
  <si>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</si>
  <si>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</si>
  <si>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</si>
  <si>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</si>
  <si>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</si>
  <si>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</si>
  <si>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</si>
  <si>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CA-2014-143336</t>
  </si>
  <si>
    <t>ZD-21925</t>
  </si>
  <si>
    <t>Zuschuss Donatelli</t>
  </si>
  <si>
    <t>San Francisco</t>
  </si>
  <si>
    <t>OFF-BI-10002215</t>
  </si>
  <si>
    <t>Wilson Jones Hanging View Binder, White, 1"</t>
  </si>
  <si>
    <t>CA-2014-105893</t>
  </si>
  <si>
    <t>PK-19075</t>
  </si>
  <si>
    <t>Pete Kriz</t>
  </si>
  <si>
    <t>Madison</t>
  </si>
  <si>
    <t>Wisconsin</t>
  </si>
  <si>
    <t>Central</t>
  </si>
  <si>
    <t>OFF-ST-10004186</t>
  </si>
  <si>
    <t>Stur-D-Stor Shelving, Vertical 5-Shelf: 72"H x 36"W x 18 1/2"D</t>
  </si>
  <si>
    <t>Greater than 5% Discount</t>
  </si>
  <si>
    <t>CA-2014-167164</t>
  </si>
  <si>
    <t>AG-10270</t>
  </si>
  <si>
    <t>Alejandro Grove</t>
  </si>
  <si>
    <t>West Jordan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</si>
  <si>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</si>
  <si>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</si>
  <si>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</si>
  <si>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</si>
  <si>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</si>
  <si>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</si>
  <si>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0==no discount</t>
  </si>
  <si>
    <t>1 to 10==&gt;Teenager</t>
  </si>
  <si>
    <t>0 to 0.5==&gt;between 5% discount</t>
  </si>
  <si>
    <t>10 to 20==&gt;adult</t>
  </si>
  <si>
    <t>&gt;0.5==&gt;greater than5% discount</t>
  </si>
  <si>
    <t>&gt;20==&gt;senior</t>
  </si>
  <si>
    <t>1. Total Sales and Profit by Category</t>
  </si>
  <si>
    <t>Row Labels</t>
  </si>
  <si>
    <t>Sum of Sales</t>
  </si>
  <si>
    <t>Sum of Profit</t>
  </si>
  <si>
    <t>Find the total sales and total profit for each product category.</t>
  </si>
  <si>
    <t>Grand Total</t>
  </si>
  <si>
    <t>2. Sales by Region</t>
  </si>
  <si>
    <t>Which region has the highest total sales?</t>
  </si>
  <si>
    <t>3. Top 5 Cities by Sales</t>
  </si>
  <si>
    <t>Identify the top 5 cities generating the highest revenue.</t>
  </si>
  <si>
    <t>4. Number of Orders by Ship Mode</t>
  </si>
  <si>
    <t>Count how many orders were shipped using each shipping mode.</t>
  </si>
  <si>
    <t>Count of Order ID</t>
  </si>
  <si>
    <t>Intermediate Questions</t>
  </si>
  <si>
    <t>5. Sales and Profit by Customer Segment</t>
  </si>
  <si>
    <t>Compare the total sales and profit between different customer segments (Consumer, Corporate, Home Office).</t>
  </si>
  <si>
    <t>6. Product Sub-Category Performance</t>
  </si>
  <si>
    <t>Find out which sub-category has the highest profit and which has the lowest.</t>
  </si>
  <si>
    <t>7. Discount Impact on Profit</t>
  </si>
  <si>
    <t>Group the data by discount percentages and check the average profit for each group.</t>
  </si>
  <si>
    <t>Advanced Questions</t>
  </si>
  <si>
    <t>8. Month-wise Sales Trend</t>
  </si>
  <si>
    <t>Average of Profit</t>
  </si>
  <si>
    <t>Create a Pivot Table to analyze sales trends over months and years.</t>
  </si>
  <si>
    <t>9. Customer Purchase Frequency</t>
  </si>
  <si>
    <t>Find out how many unique orders each customer placed.</t>
  </si>
  <si>
    <t>cust no wise count of order</t>
  </si>
  <si>
    <t>10. Most Profitable Product</t>
  </si>
  <si>
    <t>Identify which product generated the most profit.</t>
  </si>
  <si>
    <t>Total sales</t>
  </si>
  <si>
    <t>Total Profit</t>
  </si>
  <si>
    <t>Total Order count</t>
  </si>
  <si>
    <t>Total QTY Sold</t>
  </si>
  <si>
    <t>sales yearwise</t>
  </si>
  <si>
    <t>Ans1</t>
  </si>
  <si>
    <t>Select your all data==&gt;go to insert==&gt;pivot table==&gt;existing worksheet</t>
  </si>
  <si>
    <t>Coulumns</t>
  </si>
  <si>
    <t>Max of Profit</t>
  </si>
  <si>
    <t>Min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</si>
</sst>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.5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vertical="center"/>
    </xf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center" indent="2"/>
    </xf>
    <xf numFmtId="0" fontId="0" fillId="0" borderId="0" xfId="0" pivotButton="1"/>
    <xf numFmtId="0" fontId="0" fillId="2" borderId="0" xfId="0" applyFill="1"/>
  </cellXfs>
  <cellStyles count="2">
    <cellStyle name="Normal" xfId="0" builtinId="0"/>
    <cellStyle name="Normal 2" xfId="1" xr:uid="{00000000-0005-0000-0000-000031000000}"/>
  </cellStyles>
  <dxfs count="1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m/d/yyyy"/>
    </dxf>
    <dxf>
      <numFmt numFmtId="0" formatCode="General"/>
    </dxf>
    <dxf>
      <numFmt numFmtId="0" formatCode="General"/>
    </dxf>
    <dxf>
      <numFmt numFmtId="164" formatCode="m/d/yyyy"/>
    </dxf>
    <dxf>
      <font>
        <b/>
        <i val="0"/>
        <sz val="9"/>
        <color theme="0"/>
        <name val="Aptos Display"/>
        <family val="2"/>
        <scheme val="none"/>
      </font>
      <fill>
        <patternFill patternType="solid">
          <fgColor theme="0"/>
          <bgColor rgb="FF001F5C"/>
        </patternFill>
      </fill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b/>
        <i val="0"/>
        <sz val="9"/>
        <color theme="1"/>
        <name val="Aptos Display"/>
        <family val="2"/>
        <scheme val="none"/>
      </font>
      <fill>
        <patternFill patternType="solid">
          <fgColor theme="1"/>
          <bgColor theme="6" tint="0.79992065187536243"/>
        </patternFill>
      </fill>
      <border>
        <left/>
        <right/>
        <top/>
        <bottom/>
        <vertical/>
        <horizontal/>
      </border>
    </dxf>
  </dxfs>
  <tableStyles count="2" defaultTableStyle="TableStyleMedium2" defaultPivotStyle="PivotStyleLight16">
    <tableStyle name="Compact" pivot="0" table="0" count="10" xr9:uid="{AB384E8A-A3EB-4592-A464-0BBC2FEC37A1}">
      <tableStyleElement type="wholeTable" dxfId="12"/>
      <tableStyleElement type="headerRow" dxfId="11"/>
    </tableStyle>
    <tableStyle name="Slicer Style 1" pivot="0" table="0" count="3" xr9:uid="{93678784-9E7D-4CC5-8729-87924C763617}">
      <tableStyleElement type="wholeTable" dxfId="10"/>
    </tableStyle>
  </tableStyles>
  <colors>
    <mruColors>
      <color rgb="FF000000"/>
      <color rgb="FFA7ACF3"/>
      <color rgb="FF99FF99"/>
      <color rgb="FFA8E274"/>
      <color rgb="FFF781B1"/>
      <color rgb="FFFF7575"/>
      <color rgb="FFD1FFD1"/>
      <color rgb="FFB7B2F8"/>
      <color rgb="FFD32BA3"/>
      <color rgb="FF9CECCF"/>
    </mruColors>
  </colors>
  <extLst>
    <ext xmlns:x14="http://schemas.microsoft.com/office/spreadsheetml/2009/9/main" uri="{46F421CA-312F-682f-3DD2-61675219B42D}">
      <x14:dxfs count="10">
        <dxf>
          <font>
            <color theme="1"/>
          </font>
          <fill>
            <patternFill patternType="solid">
              <bgColor theme="8" tint="0.79995117038483843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bgColor theme="8" tint="0.79995117038483843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theme="4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ompact">
          <x14:slicerStyleElements>
            <x14:slicerStyleElement type="unselectedItemWithData" dxfId="9"/>
            <x14:slicerStyleElement type="unselectedItemWithNoData" dxfId="8"/>
            <x14:slicerStyleElement type="selectedItemWithData" dxfId="7"/>
            <x14:slicerStyleElement type="selectedItemWithNoData" dxfId="6"/>
            <x14:slicerStyleElement type="hoveredUnselectedItemWithData" dxfId="5"/>
            <x14:slicerStyleElement type="hoveredSelectedItemWithData" dxfId="4"/>
            <x14:slicerStyleElement type="hoveredUnselectedItemWithNoData" dxfId="3"/>
            <x14:slicerStyleElement type="hoveredSelectedItemWithNoData" dxfId="2"/>
          </x14:slicerStyleElements>
        </x14:slicerStyle>
        <x14:slicerStyle name="Slicer Style 1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Customer Order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Questions!$M$69:$M$78</c:f>
              <c:strCache>
                <c:ptCount val="10"/>
                <c:pt idx="0">
                  <c:v>Alejandro Grove</c:v>
                </c:pt>
                <c:pt idx="1">
                  <c:v>Andrew Allen</c:v>
                </c:pt>
                <c:pt idx="2">
                  <c:v>Brosina Hoffman</c:v>
                </c:pt>
                <c:pt idx="3">
                  <c:v>Claire Gute</c:v>
                </c:pt>
                <c:pt idx="4">
                  <c:v>Emily Burns</c:v>
                </c:pt>
                <c:pt idx="5">
                  <c:v>Irene Maddox</c:v>
                </c:pt>
                <c:pt idx="6">
                  <c:v>Pete Kriz</c:v>
                </c:pt>
                <c:pt idx="7">
                  <c:v>Sandra Flanagan</c:v>
                </c:pt>
                <c:pt idx="8">
                  <c:v>Sean O'Donnell</c:v>
                </c:pt>
                <c:pt idx="9">
                  <c:v>Zuschuss Donatelli</c:v>
                </c:pt>
              </c:strCache>
            </c:strRef>
          </c:cat>
          <c:val>
            <c:numRef>
              <c:f>Questions!$N$69:$N$78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9-42AC-826D-83A0978A0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9685519"/>
        <c:axId val="1729697519"/>
      </c:barChart>
      <c:catAx>
        <c:axId val="1729685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697519"/>
        <c:crosses val="autoZero"/>
        <c:auto val="1"/>
        <c:lblAlgn val="ctr"/>
        <c:lblOffset val="100"/>
        <c:noMultiLvlLbl val="0"/>
      </c:catAx>
      <c:valAx>
        <c:axId val="172969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68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ecommerce.xlsx]Pivot Tables!PivotTable2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Tables'!$C$47</c:f>
              <c:strCache>
                <c:ptCount val="1"/>
                <c:pt idx="0">
                  <c:v>Max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Tables'!$B$48:$B$58</c:f>
              <c:strCache>
                <c:ptCount val="10"/>
                <c:pt idx="0">
                  <c:v>Appliances</c:v>
                </c:pt>
                <c:pt idx="1">
                  <c:v>Art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Furnishings</c:v>
                </c:pt>
                <c:pt idx="6">
                  <c:v>Paper</c:v>
                </c:pt>
                <c:pt idx="7">
                  <c:v>Phones</c:v>
                </c:pt>
                <c:pt idx="8">
                  <c:v>Storage</c:v>
                </c:pt>
                <c:pt idx="9">
                  <c:v>Tables</c:v>
                </c:pt>
              </c:strCache>
            </c:strRef>
          </c:cat>
          <c:val>
            <c:numRef>
              <c:f>'Pivot Tables'!$C$48:$C$58</c:f>
              <c:numCache>
                <c:formatCode>General</c:formatCode>
                <c:ptCount val="10"/>
                <c:pt idx="0">
                  <c:v>34.47</c:v>
                </c:pt>
                <c:pt idx="1">
                  <c:v>2.4824000000000002</c:v>
                </c:pt>
                <c:pt idx="2">
                  <c:v>132.59219999999999</c:v>
                </c:pt>
                <c:pt idx="3">
                  <c:v>41.913600000000002</c:v>
                </c:pt>
                <c:pt idx="4">
                  <c:v>219.58199999999999</c:v>
                </c:pt>
                <c:pt idx="5">
                  <c:v>14.1694</c:v>
                </c:pt>
                <c:pt idx="6">
                  <c:v>5.4432</c:v>
                </c:pt>
                <c:pt idx="7">
                  <c:v>90.715199999999996</c:v>
                </c:pt>
                <c:pt idx="8">
                  <c:v>13.317600000000001</c:v>
                </c:pt>
                <c:pt idx="9">
                  <c:v>240.26490000000001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6-486C-B28A-EB487D07BDAA}"/>
            </c:ext>
          </c:extLst>
        </c:ser>
        <c:ser>
          <c:idx val="1"/>
          <c:order val="1"/>
          <c:tx>
            <c:strRef>
              <c:f>'Pivot Tables'!$D$47</c:f>
              <c:strCache>
                <c:ptCount val="1"/>
                <c:pt idx="0">
                  <c:v>Min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Tables'!$B$48:$B$58</c:f>
              <c:strCache>
                <c:ptCount val="10"/>
                <c:pt idx="0">
                  <c:v>Appliances</c:v>
                </c:pt>
                <c:pt idx="1">
                  <c:v>Art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Furnishings</c:v>
                </c:pt>
                <c:pt idx="6">
                  <c:v>Paper</c:v>
                </c:pt>
                <c:pt idx="7">
                  <c:v>Phones</c:v>
                </c:pt>
                <c:pt idx="8">
                  <c:v>Storage</c:v>
                </c:pt>
                <c:pt idx="9">
                  <c:v>Tables</c:v>
                </c:pt>
              </c:strCache>
            </c:strRef>
          </c:cat>
          <c:val>
            <c:numRef>
              <c:f>'Pivot Tables'!$D$48:$D$58</c:f>
              <c:numCache>
                <c:formatCode>General</c:formatCode>
                <c:ptCount val="10"/>
                <c:pt idx="0">
                  <c:v>34.47</c:v>
                </c:pt>
                <c:pt idx="1">
                  <c:v>1.9656</c:v>
                </c:pt>
                <c:pt idx="2">
                  <c:v>5.7824999999999998</c:v>
                </c:pt>
                <c:pt idx="3">
                  <c:v>41.913600000000002</c:v>
                </c:pt>
                <c:pt idx="4">
                  <c:v>-1.0196000000000001</c:v>
                </c:pt>
                <c:pt idx="5">
                  <c:v>14.1694</c:v>
                </c:pt>
                <c:pt idx="6">
                  <c:v>5.4432</c:v>
                </c:pt>
                <c:pt idx="7">
                  <c:v>16.010999999999999</c:v>
                </c:pt>
                <c:pt idx="8">
                  <c:v>2.5164</c:v>
                </c:pt>
                <c:pt idx="9">
                  <c:v>-383.03100000000001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76-486C-B28A-EB487D07BDAA}"/>
            </c:ext>
          </c:extLst>
        </c:ser>
        <c:ser>
          <c:idx val="2"/>
          <c:order val="2"/>
          <c:tx>
            <c:strRef>
              <c:f>'Pivot Tables'!$E$47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Tables'!$B$48:$B$58</c:f>
              <c:strCache>
                <c:ptCount val="10"/>
                <c:pt idx="0">
                  <c:v>Appliances</c:v>
                </c:pt>
                <c:pt idx="1">
                  <c:v>Art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Furnishings</c:v>
                </c:pt>
                <c:pt idx="6">
                  <c:v>Paper</c:v>
                </c:pt>
                <c:pt idx="7">
                  <c:v>Phones</c:v>
                </c:pt>
                <c:pt idx="8">
                  <c:v>Storage</c:v>
                </c:pt>
                <c:pt idx="9">
                  <c:v>Tables</c:v>
                </c:pt>
              </c:strCache>
            </c:strRef>
          </c:cat>
          <c:val>
            <c:numRef>
              <c:f>'Pivot Tables'!$E$48:$E$58</c:f>
              <c:numCache>
                <c:formatCode>General</c:formatCode>
                <c:ptCount val="10"/>
                <c:pt idx="0">
                  <c:v>34.47</c:v>
                </c:pt>
                <c:pt idx="1">
                  <c:v>4.4480000000000004</c:v>
                </c:pt>
                <c:pt idx="2">
                  <c:v>145.75869999999998</c:v>
                </c:pt>
                <c:pt idx="3">
                  <c:v>41.913600000000002</c:v>
                </c:pt>
                <c:pt idx="4">
                  <c:v>218.5624</c:v>
                </c:pt>
                <c:pt idx="5">
                  <c:v>14.1694</c:v>
                </c:pt>
                <c:pt idx="6">
                  <c:v>5.4432</c:v>
                </c:pt>
                <c:pt idx="7">
                  <c:v>175.083</c:v>
                </c:pt>
                <c:pt idx="8">
                  <c:v>25.823999999999998</c:v>
                </c:pt>
                <c:pt idx="9">
                  <c:v>-57.456900000000189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76-486C-B28A-EB487D07B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1299360"/>
        <c:axId val="431296000"/>
        <c:axId val="0"/>
      </c:bar3DChart>
      <c:catAx>
        <c:axId val="43129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96000"/>
        <c:crosses val="autoZero"/>
        <c:auto val="1"/>
        <c:lblAlgn val="ctr"/>
        <c:lblOffset val="100"/>
        <c:noMultiLvlLbl val="0"/>
      </c:catAx>
      <c:valAx>
        <c:axId val="43129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9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0e3317-fb69-435b-b0f5-adf66e86d63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ecommerce.xlsx]Questions!PivotTable1</c:name>
    <c:fmtId val="3"/>
  </c:pivotSource>
  <c:chart>
    <c:autoTitleDeleted val="1"/>
    <c:pivotFmts>
      <c:pivotFmt>
        <c:idx val="0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</c:pivotFmt>
      <c:pivotFmt>
        <c:idx val="2"/>
        <c:spPr>
          <a:solidFill>
            <a:srgbClr val="04939A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  <a:sp3d/>
        </c:spPr>
      </c:pivotFmt>
      <c:pivotFmt>
        <c:idx val="6"/>
        <c:spPr>
          <a:solidFill>
            <a:srgbClr val="7030A0"/>
          </a:solidFill>
          <a:ln>
            <a:noFill/>
          </a:ln>
          <a:effectLst/>
          <a:sp3d/>
        </c:spPr>
      </c:pivotFmt>
      <c:pivotFmt>
        <c:idx val="7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2874601304758"/>
          <c:y val="0.12955690842159101"/>
          <c:w val="0.80847552808759304"/>
          <c:h val="0.6875902493019040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Questions!$I$1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9133-4C38-8D8E-03AE0C99EAE9}"/>
              </c:ext>
            </c:extLst>
          </c:dPt>
          <c:dPt>
            <c:idx val="1"/>
            <c:invertIfNegative val="0"/>
            <c:bubble3D val="0"/>
            <c:spPr>
              <a:solidFill>
                <a:srgbClr val="04939A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9133-4C38-8D8E-03AE0C99EAE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9133-4C38-8D8E-03AE0C99EAE9}"/>
              </c:ext>
            </c:extLst>
          </c:dPt>
          <c:cat>
            <c:strRef>
              <c:f>Questions!$H$2:$H$5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Questions!$I$2:$I$5</c:f>
              <c:numCache>
                <c:formatCode>General</c:formatCode>
                <c:ptCount val="3"/>
                <c:pt idx="0">
                  <c:v>4822.5235000000002</c:v>
                </c:pt>
                <c:pt idx="1">
                  <c:v>1339.24</c:v>
                </c:pt>
                <c:pt idx="2">
                  <c:v>2032.056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33-4C38-8D8E-03AE0C99EAE9}"/>
            </c:ext>
          </c:extLst>
        </c:ser>
        <c:ser>
          <c:idx val="1"/>
          <c:order val="1"/>
          <c:tx>
            <c:strRef>
              <c:f>Questions!$J$1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9133-4C38-8D8E-03AE0C99EAE9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A-9133-4C38-8D8E-03AE0C99EAE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C-9133-4C38-8D8E-03AE0C99EAE9}"/>
              </c:ext>
            </c:extLst>
          </c:dPt>
          <c:cat>
            <c:strRef>
              <c:f>Questions!$H$2:$H$5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Questions!$J$2:$J$5</c:f>
              <c:numCache>
                <c:formatCode>General</c:formatCode>
                <c:ptCount val="3"/>
                <c:pt idx="0">
                  <c:v>217.18849999999978</c:v>
                </c:pt>
                <c:pt idx="1">
                  <c:v>215.94389999999999</c:v>
                </c:pt>
                <c:pt idx="2">
                  <c:v>175.083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133-4C38-8D8E-03AE0C99E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shape val="box"/>
        <c:axId val="65706303"/>
        <c:axId val="65713983"/>
        <c:axId val="0"/>
      </c:bar3DChart>
      <c:catAx>
        <c:axId val="6570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13983"/>
        <c:crosses val="autoZero"/>
        <c:auto val="1"/>
        <c:lblAlgn val="ctr"/>
        <c:lblOffset val="100"/>
        <c:noMultiLvlLbl val="0"/>
      </c:catAx>
      <c:valAx>
        <c:axId val="65713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63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24590972981051"/>
          <c:y val="6.1034839419873206E-2"/>
          <c:w val="0.24501655589066795"/>
          <c:h val="0.338174315763960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73c1a9-ac0f-4a47-90d2-0e6b8304a2e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ecommerce.xlsx]Questions!PivotTable2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 b="1" baseline="0">
                <a:solidFill>
                  <a:schemeClr val="tx1"/>
                </a:solidFill>
              </a:rPr>
              <a:t> Sales by Region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8E274"/>
          </a:solidFill>
          <a:ln>
            <a:noFill/>
          </a:ln>
          <a:effectLst/>
        </c:spPr>
      </c:pivotFmt>
      <c:pivotFmt>
        <c:idx val="2"/>
        <c:spPr>
          <a:solidFill>
            <a:srgbClr val="F781B1"/>
          </a:solidFill>
          <a:ln>
            <a:noFill/>
          </a:ln>
          <a:effectLst/>
        </c:spPr>
      </c:pivotFmt>
      <c:pivotFmt>
        <c:idx val="3"/>
        <c:spPr>
          <a:solidFill>
            <a:srgbClr val="00B0F0"/>
          </a:solidFill>
          <a:ln>
            <a:noFill/>
          </a:ln>
          <a:effectLst/>
        </c:spPr>
      </c:pivotFmt>
      <c:pivotFmt>
        <c:idx val="4"/>
        <c:spPr>
          <a:solidFill>
            <a:srgbClr val="0000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9605615430335702"/>
          <c:y val="0.19671124346115701"/>
          <c:w val="0.62369437036803299"/>
          <c:h val="0.713581611463300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Questions!$I$7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8E27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D4-4A9A-9537-D5D0F642CA1B}"/>
              </c:ext>
            </c:extLst>
          </c:dPt>
          <c:dPt>
            <c:idx val="1"/>
            <c:invertIfNegative val="0"/>
            <c:bubble3D val="0"/>
            <c:spPr>
              <a:solidFill>
                <a:srgbClr val="F781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D4-4A9A-9537-D5D0F642CA1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D4-4A9A-9537-D5D0F642CA1B}"/>
              </c:ext>
            </c:extLst>
          </c:dPt>
          <c:dPt>
            <c:idx val="3"/>
            <c:invertIfNegative val="0"/>
            <c:bubble3D val="0"/>
            <c:spPr>
              <a:solidFill>
                <a:srgbClr val="0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D4-4A9A-9537-D5D0F642CA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Questions!$H$8:$H$12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Central</c:v>
                </c:pt>
                <c:pt idx="3">
                  <c:v>East</c:v>
                </c:pt>
              </c:strCache>
            </c:strRef>
          </c:cat>
          <c:val>
            <c:numRef>
              <c:f>Questions!$I$8:$I$12</c:f>
              <c:numCache>
                <c:formatCode>General</c:formatCode>
                <c:ptCount val="4"/>
                <c:pt idx="0">
                  <c:v>5467.17</c:v>
                </c:pt>
                <c:pt idx="1">
                  <c:v>1989.3974999999998</c:v>
                </c:pt>
                <c:pt idx="2">
                  <c:v>665.88</c:v>
                </c:pt>
                <c:pt idx="3">
                  <c:v>71.371999999999986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D4-4A9A-9537-D5D0F642CA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"/>
        <c:overlap val="3"/>
        <c:axId val="66349983"/>
        <c:axId val="66339423"/>
      </c:barChart>
      <c:catAx>
        <c:axId val="663499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39423"/>
        <c:crosses val="autoZero"/>
        <c:auto val="1"/>
        <c:lblAlgn val="ctr"/>
        <c:lblOffset val="100"/>
        <c:noMultiLvlLbl val="0"/>
      </c:catAx>
      <c:valAx>
        <c:axId val="663394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34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2e1974b-cc9e-46d5-870d-1fbb8d0dda6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ecommerce.xlsx]Questions!PivotTable3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0000"/>
                </a:solidFill>
              </a:rPr>
              <a:t>Top 5 City</a:t>
            </a:r>
          </a:p>
        </c:rich>
      </c:tx>
      <c:layout>
        <c:manualLayout>
          <c:xMode val="edge"/>
          <c:yMode val="edge"/>
          <c:x val="0.39093982420554402"/>
          <c:y val="2.6277238600988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5C7F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781B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3449873025506703E-2"/>
          <c:y val="0.192211133492034"/>
          <c:w val="0.66061368343155902"/>
          <c:h val="0.75740126960874099"/>
        </c:manualLayout>
      </c:layout>
      <c:pieChart>
        <c:varyColors val="1"/>
        <c:ser>
          <c:idx val="0"/>
          <c:order val="0"/>
          <c:tx>
            <c:strRef>
              <c:f>Questions!$I$14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2F-49AB-8185-64A1AB892705}"/>
              </c:ext>
            </c:extLst>
          </c:dPt>
          <c:dPt>
            <c:idx val="1"/>
            <c:bubble3D val="0"/>
            <c:spPr>
              <a:solidFill>
                <a:srgbClr val="F5C7F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2F-49AB-8185-64A1AB892705}"/>
              </c:ext>
            </c:extLst>
          </c:dPt>
          <c:dPt>
            <c:idx val="2"/>
            <c:bubble3D val="0"/>
            <c:spPr>
              <a:solidFill>
                <a:srgbClr val="F781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2F-49AB-8185-64A1AB892705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2F-49AB-8185-64A1AB892705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2F-49AB-8185-64A1AB892705}"/>
              </c:ext>
            </c:extLst>
          </c:dPt>
          <c:cat>
            <c:strRef>
              <c:f>Questions!$H$15:$H$20</c:f>
              <c:strCache>
                <c:ptCount val="5"/>
                <c:pt idx="0">
                  <c:v>Fort Lauderdale</c:v>
                </c:pt>
                <c:pt idx="1">
                  <c:v>Henderson</c:v>
                </c:pt>
                <c:pt idx="2">
                  <c:v>Los Angeles</c:v>
                </c:pt>
                <c:pt idx="3">
                  <c:v>Madison</c:v>
                </c:pt>
                <c:pt idx="4">
                  <c:v>Orem</c:v>
                </c:pt>
              </c:strCache>
            </c:strRef>
          </c:cat>
          <c:val>
            <c:numRef>
              <c:f>Questions!$I$15:$I$20</c:f>
              <c:numCache>
                <c:formatCode>General</c:formatCode>
                <c:ptCount val="5"/>
                <c:pt idx="0">
                  <c:v>979.94550000000004</c:v>
                </c:pt>
                <c:pt idx="1">
                  <c:v>993.89999999999986</c:v>
                </c:pt>
                <c:pt idx="2">
                  <c:v>3714.3040000000001</c:v>
                </c:pt>
                <c:pt idx="3">
                  <c:v>665.88</c:v>
                </c:pt>
                <c:pt idx="4">
                  <c:v>1044.6299999999999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2F-49AB-8185-64A1AB892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b540c9-856e-4d55-be03-5a055da61a6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ecommerce.xlsx]Questions!PivotTable4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 b="1" baseline="0">
                <a:solidFill>
                  <a:schemeClr val="tx1"/>
                </a:solidFill>
              </a:rPr>
              <a:t> Orders by Ship mode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349593495934997"/>
          <c:y val="4.5561341122682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Questions!$I$22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strRef>
              <c:f>Questions!$H$23:$H$25</c:f>
              <c:strCache>
                <c:ptCount val="2"/>
                <c:pt idx="0">
                  <c:v>Second Class</c:v>
                </c:pt>
                <c:pt idx="1">
                  <c:v>Standard Class</c:v>
                </c:pt>
              </c:strCache>
            </c:strRef>
          </c:cat>
          <c:val>
            <c:numRef>
              <c:f>Questions!$I$23:$I$25</c:f>
              <c:numCache>
                <c:formatCode>General</c:formatCode>
                <c:ptCount val="2"/>
                <c:pt idx="0">
                  <c:v>7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D-4324-A7F6-A70E666AA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37023"/>
        <c:axId val="65738943"/>
      </c:areaChart>
      <c:catAx>
        <c:axId val="657370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38943"/>
        <c:crosses val="autoZero"/>
        <c:auto val="1"/>
        <c:lblAlgn val="ctr"/>
        <c:lblOffset val="100"/>
        <c:noMultiLvlLbl val="0"/>
      </c:catAx>
      <c:valAx>
        <c:axId val="6573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3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4670abb5-2023-44c6-a971-9fda9c665a6f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ecommerce.xlsx]Questions!PivotTable5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Sales</a:t>
            </a:r>
            <a:r>
              <a:rPr lang="en-IN" b="1" baseline="0">
                <a:solidFill>
                  <a:schemeClr val="tx1"/>
                </a:solidFill>
              </a:rPr>
              <a:t> &amp; Profit by Segment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6403202357058301"/>
          <c:y val="0.1167881067105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781B1"/>
          </a:solidFill>
          <a:ln>
            <a:noFill/>
          </a:ln>
          <a:effectLst/>
          <a:sp3d/>
        </c:spPr>
        <c:dLbl>
          <c:idx val="0"/>
          <c:layout>
            <c:manualLayout>
              <c:x val="-9.8039215686274495E-2"/>
              <c:y val="-4.97512437810945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8.5784313725490197E-2"/>
              <c:y val="-0.11194029850746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1671298440636101E-2"/>
          <c:y val="0.15758951306459801"/>
          <c:w val="0.75485692964850004"/>
          <c:h val="0.6910761154855640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Questions!$K$27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781B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DA80-4323-B216-D5B066B25E0A}"/>
              </c:ext>
            </c:extLst>
          </c:dPt>
          <c:dLbls>
            <c:dLbl>
              <c:idx val="0"/>
              <c:layout>
                <c:manualLayout>
                  <c:x val="-9.8039215686274495E-2"/>
                  <c:y val="-4.97512437810945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80-4323-B216-D5B066B25E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Questions!$J$28:$J$29</c:f>
              <c:strCache>
                <c:ptCount val="1"/>
                <c:pt idx="0">
                  <c:v>Consumer</c:v>
                </c:pt>
              </c:strCache>
            </c:strRef>
          </c:cat>
          <c:val>
            <c:numRef>
              <c:f>Questions!$K$28:$K$29</c:f>
              <c:numCache>
                <c:formatCode>General</c:formatCode>
                <c:ptCount val="1"/>
                <c:pt idx="0">
                  <c:v>8193.8194999999996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80-4323-B216-D5B066B25E0A}"/>
            </c:ext>
          </c:extLst>
        </c:ser>
        <c:ser>
          <c:idx val="1"/>
          <c:order val="1"/>
          <c:tx>
            <c:strRef>
              <c:f>Questions!$L$27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DA80-4323-B216-D5B066B25E0A}"/>
              </c:ext>
            </c:extLst>
          </c:dPt>
          <c:dLbls>
            <c:dLbl>
              <c:idx val="0"/>
              <c:layout>
                <c:manualLayout>
                  <c:x val="8.5784313725490197E-2"/>
                  <c:y val="-0.11194029850746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1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80-4323-B216-D5B066B25E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Questions!$J$28:$J$29</c:f>
              <c:strCache>
                <c:ptCount val="1"/>
                <c:pt idx="0">
                  <c:v>Consumer</c:v>
                </c:pt>
              </c:strCache>
            </c:strRef>
          </c:cat>
          <c:val>
            <c:numRef>
              <c:f>Questions!$L$28:$L$29</c:f>
              <c:numCache>
                <c:formatCode>General</c:formatCode>
                <c:ptCount val="1"/>
                <c:pt idx="0">
                  <c:v>608.2153999999997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80-4323-B216-D5B066B25E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44942319"/>
        <c:axId val="1044945199"/>
        <c:axId val="0"/>
      </c:bar3DChart>
      <c:catAx>
        <c:axId val="10449423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4945199"/>
        <c:crosses val="autoZero"/>
        <c:auto val="1"/>
        <c:lblAlgn val="ctr"/>
        <c:lblOffset val="100"/>
        <c:noMultiLvlLbl val="0"/>
      </c:catAx>
      <c:valAx>
        <c:axId val="104494519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494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5580d1-0765-4e81-8f8b-c6d00f4b308d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ecommerce.xlsx]Questions!PivotTable6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0000"/>
                </a:solidFill>
              </a:rPr>
              <a:t> Product Sub-Category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8E274"/>
          </a:solidFill>
          <a:ln>
            <a:noFill/>
          </a:ln>
          <a:effectLst/>
          <a:sp3d/>
        </c:spPr>
      </c:pivotFmt>
      <c:pivotFmt>
        <c:idx val="2"/>
        <c:spPr>
          <a:solidFill>
            <a:srgbClr val="00B0F0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7030A0"/>
          </a:solidFill>
          <a:ln>
            <a:noFill/>
          </a:ln>
          <a:effectLst/>
          <a:sp3d/>
        </c:spPr>
      </c:pivotFmt>
      <c:pivotFmt>
        <c:idx val="5"/>
        <c:spPr>
          <a:solidFill>
            <a:srgbClr val="F781B1"/>
          </a:solidFill>
          <a:ln>
            <a:noFill/>
          </a:ln>
          <a:effectLst/>
          <a:sp3d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7"/>
        <c:spPr>
          <a:solidFill>
            <a:srgbClr val="CC66FF"/>
          </a:solidFill>
          <a:ln>
            <a:noFill/>
          </a:ln>
          <a:effectLst/>
          <a:sp3d/>
        </c:spPr>
      </c:pivotFmt>
      <c:pivotFmt>
        <c:idx val="8"/>
        <c:spPr>
          <a:solidFill>
            <a:srgbClr val="D1FFD1"/>
          </a:solidFill>
          <a:ln>
            <a:noFill/>
          </a:ln>
          <a:effectLst/>
          <a:sp3d/>
        </c:spPr>
      </c:pivotFmt>
      <c:pivotFmt>
        <c:idx val="9"/>
        <c:spPr>
          <a:solidFill>
            <a:srgbClr val="00CC99"/>
          </a:solidFill>
          <a:ln>
            <a:noFill/>
          </a:ln>
          <a:effectLst/>
          <a:sp3d/>
        </c:spPr>
      </c:pivotFmt>
      <c:pivotFmt>
        <c:idx val="10"/>
        <c:spPr>
          <a:solidFill>
            <a:srgbClr val="D32BA3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1596695952911996E-2"/>
          <c:y val="0.12740859315662501"/>
          <c:w val="0.87430655675082902"/>
          <c:h val="0.66751656042994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Questions!$K$31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A8E27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A7DE-4772-9092-401873B39C8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A7DE-4772-9092-401873B39C8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A7DE-4772-9092-401873B39C8E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A7DE-4772-9092-401873B39C8E}"/>
              </c:ext>
            </c:extLst>
          </c:dPt>
          <c:dPt>
            <c:idx val="4"/>
            <c:invertIfNegative val="0"/>
            <c:bubble3D val="0"/>
            <c:spPr>
              <a:solidFill>
                <a:srgbClr val="F781B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A7DE-4772-9092-401873B39C8E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A7DE-4772-9092-401873B39C8E}"/>
              </c:ext>
            </c:extLst>
          </c:dPt>
          <c:dPt>
            <c:idx val="6"/>
            <c:invertIfNegative val="0"/>
            <c:bubble3D val="0"/>
            <c:spPr>
              <a:solidFill>
                <a:srgbClr val="CC66FF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A7DE-4772-9092-401873B39C8E}"/>
              </c:ext>
            </c:extLst>
          </c:dPt>
          <c:dPt>
            <c:idx val="7"/>
            <c:invertIfNegative val="0"/>
            <c:bubble3D val="0"/>
            <c:spPr>
              <a:solidFill>
                <a:srgbClr val="D1FFD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A7DE-4772-9092-401873B39C8E}"/>
              </c:ext>
            </c:extLst>
          </c:dPt>
          <c:dPt>
            <c:idx val="8"/>
            <c:invertIfNegative val="0"/>
            <c:bubble3D val="0"/>
            <c:spPr>
              <a:solidFill>
                <a:srgbClr val="00CC99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A7DE-4772-9092-401873B39C8E}"/>
              </c:ext>
            </c:extLst>
          </c:dPt>
          <c:dPt>
            <c:idx val="9"/>
            <c:invertIfNegative val="0"/>
            <c:bubble3D val="0"/>
            <c:spPr>
              <a:solidFill>
                <a:srgbClr val="D32BA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A7DE-4772-9092-401873B39C8E}"/>
              </c:ext>
            </c:extLst>
          </c:dPt>
          <c:cat>
            <c:strRef>
              <c:f>Questions!$J$32:$J$42</c:f>
              <c:strCache>
                <c:ptCount val="10"/>
                <c:pt idx="0">
                  <c:v>Tables</c:v>
                </c:pt>
                <c:pt idx="1">
                  <c:v>Art</c:v>
                </c:pt>
                <c:pt idx="2">
                  <c:v>Paper</c:v>
                </c:pt>
                <c:pt idx="3">
                  <c:v>Furnishings</c:v>
                </c:pt>
                <c:pt idx="4">
                  <c:v>Storage</c:v>
                </c:pt>
                <c:pt idx="5">
                  <c:v>Appliances</c:v>
                </c:pt>
                <c:pt idx="6">
                  <c:v>Bookcases</c:v>
                </c:pt>
                <c:pt idx="7">
                  <c:v>Binders</c:v>
                </c:pt>
                <c:pt idx="8">
                  <c:v>Phones</c:v>
                </c:pt>
                <c:pt idx="9">
                  <c:v>Chairs</c:v>
                </c:pt>
              </c:strCache>
            </c:strRef>
          </c:cat>
          <c:val>
            <c:numRef>
              <c:f>Questions!$K$32:$K$42</c:f>
              <c:numCache>
                <c:formatCode>General</c:formatCode>
                <c:ptCount val="10"/>
                <c:pt idx="0">
                  <c:v>-57.456900000000189</c:v>
                </c:pt>
                <c:pt idx="1">
                  <c:v>4.4480000000000004</c:v>
                </c:pt>
                <c:pt idx="2">
                  <c:v>5.4432</c:v>
                </c:pt>
                <c:pt idx="3">
                  <c:v>14.1694</c:v>
                </c:pt>
                <c:pt idx="4">
                  <c:v>25.823999999999998</c:v>
                </c:pt>
                <c:pt idx="5">
                  <c:v>34.47</c:v>
                </c:pt>
                <c:pt idx="6">
                  <c:v>41.913600000000002</c:v>
                </c:pt>
                <c:pt idx="7">
                  <c:v>145.75869999999998</c:v>
                </c:pt>
                <c:pt idx="8">
                  <c:v>175.083</c:v>
                </c:pt>
                <c:pt idx="9">
                  <c:v>218.5624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7DE-4772-9092-401873B39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gapDepth val="180"/>
        <c:shape val="box"/>
        <c:axId val="1109979439"/>
        <c:axId val="1109974159"/>
        <c:axId val="0"/>
      </c:bar3DChart>
      <c:catAx>
        <c:axId val="1109979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74159"/>
        <c:crosses val="autoZero"/>
        <c:auto val="1"/>
        <c:lblAlgn val="ctr"/>
        <c:lblOffset val="100"/>
        <c:noMultiLvlLbl val="0"/>
      </c:catAx>
      <c:valAx>
        <c:axId val="11099741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7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a421d24-931a-46e2-9333-6be85209161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ecommerce.xlsx]Questions!PivotTable7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000000"/>
                </a:solidFill>
              </a:rPr>
              <a:t>Discount Impact</a:t>
            </a:r>
            <a:r>
              <a:rPr lang="en-IN" b="1" baseline="0">
                <a:solidFill>
                  <a:srgbClr val="000000"/>
                </a:solidFill>
              </a:rPr>
              <a:t> on Profit</a:t>
            </a:r>
            <a:endParaRPr lang="en-IN" b="1">
              <a:solidFill>
                <a:srgbClr val="000000"/>
              </a:solidFill>
            </a:endParaRPr>
          </a:p>
        </c:rich>
      </c:tx>
      <c:layout>
        <c:manualLayout>
          <c:xMode val="edge"/>
          <c:yMode val="edge"/>
          <c:x val="0.31960093896713598"/>
          <c:y val="2.8247798812382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D32BA3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487424987369501"/>
          <c:y val="0.14107285791403701"/>
          <c:w val="0.52554957918992495"/>
          <c:h val="0.79391532175499302"/>
        </c:manualLayout>
      </c:layout>
      <c:doughnutChart>
        <c:varyColors val="1"/>
        <c:ser>
          <c:idx val="0"/>
          <c:order val="0"/>
          <c:tx>
            <c:strRef>
              <c:f>Questions!$K$44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98-48B4-9704-F00F0474EB6D}"/>
              </c:ext>
            </c:extLst>
          </c:dPt>
          <c:dPt>
            <c:idx val="1"/>
            <c:bubble3D val="0"/>
            <c:spPr>
              <a:solidFill>
                <a:srgbClr val="D32BA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98-48B4-9704-F00F0474EB6D}"/>
              </c:ext>
            </c:extLst>
          </c:dPt>
          <c:dPt>
            <c:idx val="2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98-48B4-9704-F00F0474EB6D}"/>
              </c:ext>
            </c:extLst>
          </c:dPt>
          <c:cat>
            <c:strRef>
              <c:f>Questions!$J$45:$J$48</c:f>
              <c:strCache>
                <c:ptCount val="3"/>
                <c:pt idx="0">
                  <c:v>Between 0 to 5% discount</c:v>
                </c:pt>
                <c:pt idx="1">
                  <c:v>Greater than 5% Discount</c:v>
                </c:pt>
                <c:pt idx="2">
                  <c:v>No Discount</c:v>
                </c:pt>
              </c:strCache>
            </c:strRef>
          </c:cat>
          <c:val>
            <c:numRef>
              <c:f>Questions!$K$45:$K$48</c:f>
              <c:numCache>
                <c:formatCode>General</c:formatCode>
                <c:ptCount val="3"/>
                <c:pt idx="0">
                  <c:v>1.40488999999998</c:v>
                </c:pt>
                <c:pt idx="1">
                  <c:v>14.664300000000001</c:v>
                </c:pt>
                <c:pt idx="2">
                  <c:v>70.604737499999999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98-48B4-9704-F00F0474E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0"/>
        <c:holeSize val="5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bd77fc-9c65-40ee-9a19-d77dd242eb5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ecommerce.xlsx]Questions!PivotTable8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000000"/>
                </a:solidFill>
              </a:rPr>
              <a:t>Month Wise Sales Trend</a:t>
            </a:r>
          </a:p>
        </c:rich>
      </c:tx>
      <c:layout>
        <c:manualLayout>
          <c:xMode val="edge"/>
          <c:yMode val="edge"/>
          <c:x val="0.29530234561658403"/>
          <c:y val="3.3516395395368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90588365250999"/>
          <c:y val="0.138399033242917"/>
          <c:w val="0.82537141363553601"/>
          <c:h val="0.58715594160673701"/>
        </c:manualLayout>
      </c:layout>
      <c:lineChart>
        <c:grouping val="standard"/>
        <c:varyColors val="0"/>
        <c:ser>
          <c:idx val="0"/>
          <c:order val="0"/>
          <c:tx>
            <c:strRef>
              <c:f>Questions!$K$50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Questions!$J$51:$J$65</c:f>
              <c:multiLvlStrCache>
                <c:ptCount val="10"/>
                <c:lvl>
                  <c:pt idx="0">
                    <c:v>5</c:v>
                  </c:pt>
                  <c:pt idx="1">
                    <c:v>6</c:v>
                  </c:pt>
                  <c:pt idx="2">
                    <c:v>8</c:v>
                  </c:pt>
                  <c:pt idx="3">
                    <c:v>11</c:v>
                  </c:pt>
                  <c:pt idx="4">
                    <c:v>9</c:v>
                  </c:pt>
                  <c:pt idx="5">
                    <c:v>10</c:v>
                  </c:pt>
                  <c:pt idx="6">
                    <c:v>11</c:v>
                  </c:pt>
                  <c:pt idx="7">
                    <c:v>12</c:v>
                  </c:pt>
                  <c:pt idx="8">
                    <c:v>4</c:v>
                  </c:pt>
                  <c:pt idx="9">
                    <c:v>7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6">
                    <c:v>2016</c:v>
                  </c:pt>
                  <c:pt idx="8">
                    <c:v>2017</c:v>
                  </c:pt>
                </c:lvl>
              </c:multiLvlStrCache>
            </c:multiLvlStrRef>
          </c:cat>
          <c:val>
            <c:numRef>
              <c:f>Questions!$K$51:$K$65</c:f>
              <c:numCache>
                <c:formatCode>General</c:formatCode>
                <c:ptCount val="10"/>
                <c:pt idx="0">
                  <c:v>55.5</c:v>
                </c:pt>
                <c:pt idx="1">
                  <c:v>3714.3040000000001</c:v>
                </c:pt>
                <c:pt idx="2">
                  <c:v>244.76000000000002</c:v>
                </c:pt>
                <c:pt idx="3">
                  <c:v>665.88</c:v>
                </c:pt>
                <c:pt idx="4">
                  <c:v>1044.6299999999999</c:v>
                </c:pt>
                <c:pt idx="5">
                  <c:v>979.94550000000004</c:v>
                </c:pt>
                <c:pt idx="6">
                  <c:v>993.89999999999986</c:v>
                </c:pt>
                <c:pt idx="7">
                  <c:v>407.97600000000006</c:v>
                </c:pt>
                <c:pt idx="8">
                  <c:v>15.552000000000003</c:v>
                </c:pt>
                <c:pt idx="9">
                  <c:v>71.371999999999986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A7-4905-B353-3DA0BB0EB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045199"/>
        <c:axId val="1110070159"/>
      </c:lineChart>
      <c:catAx>
        <c:axId val="1110045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070159"/>
        <c:crosses val="autoZero"/>
        <c:auto val="1"/>
        <c:lblAlgn val="ctr"/>
        <c:lblOffset val="100"/>
        <c:noMultiLvlLbl val="0"/>
      </c:catAx>
      <c:valAx>
        <c:axId val="11100701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04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1f15c70-db3c-4381-ba51-6b10a4f47a4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Customer Order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722092836511042"/>
          <c:y val="0.17171296296296296"/>
          <c:w val="0.7280164518968520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4CD-4F93-B1B8-6E6CE8B2A4B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4CD-4F93-B1B8-6E6CE8B2A4B9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4CD-4F93-B1B8-6E6CE8B2A4B9}"/>
              </c:ext>
            </c:extLst>
          </c:dPt>
          <c:dPt>
            <c:idx val="5"/>
            <c:invertIfNegative val="0"/>
            <c:bubble3D val="0"/>
            <c:spPr>
              <a:solidFill>
                <a:srgbClr val="A8E27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4CD-4F93-B1B8-6E6CE8B2A4B9}"/>
              </c:ext>
            </c:extLst>
          </c:dPt>
          <c:dPt>
            <c:idx val="6"/>
            <c:invertIfNegative val="0"/>
            <c:bubble3D val="0"/>
            <c:spPr>
              <a:solidFill>
                <a:srgbClr val="FF757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4CD-4F93-B1B8-6E6CE8B2A4B9}"/>
              </c:ext>
            </c:extLst>
          </c:dPt>
          <c:dPt>
            <c:idx val="7"/>
            <c:invertIfNegative val="0"/>
            <c:bubble3D val="0"/>
            <c:spPr>
              <a:solidFill>
                <a:srgbClr val="D1FFD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4CD-4F93-B1B8-6E6CE8B2A4B9}"/>
              </c:ext>
            </c:extLst>
          </c:dPt>
          <c:dPt>
            <c:idx val="8"/>
            <c:invertIfNegative val="0"/>
            <c:bubble3D val="0"/>
            <c:spPr>
              <a:solidFill>
                <a:srgbClr val="B7B2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4CD-4F93-B1B8-6E6CE8B2A4B9}"/>
              </c:ext>
            </c:extLst>
          </c:dPt>
          <c:dPt>
            <c:idx val="9"/>
            <c:invertIfNegative val="0"/>
            <c:bubble3D val="0"/>
            <c:spPr>
              <a:solidFill>
                <a:srgbClr val="D32BA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CD-4F93-B1B8-6E6CE8B2A4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Questions!$M$69:$M$78</c:f>
              <c:strCache>
                <c:ptCount val="10"/>
                <c:pt idx="0">
                  <c:v>Alejandro Grove</c:v>
                </c:pt>
                <c:pt idx="1">
                  <c:v>Andrew Allen</c:v>
                </c:pt>
                <c:pt idx="2">
                  <c:v>Brosina Hoffman</c:v>
                </c:pt>
                <c:pt idx="3">
                  <c:v>Claire Gute</c:v>
                </c:pt>
                <c:pt idx="4">
                  <c:v>Emily Burns</c:v>
                </c:pt>
                <c:pt idx="5">
                  <c:v>Irene Maddox</c:v>
                </c:pt>
                <c:pt idx="6">
                  <c:v>Pete Kriz</c:v>
                </c:pt>
                <c:pt idx="7">
                  <c:v>Sandra Flanagan</c:v>
                </c:pt>
                <c:pt idx="8">
                  <c:v>Sean O'Donnell</c:v>
                </c:pt>
                <c:pt idx="9">
                  <c:v>Zuschuss Donatelli</c:v>
                </c:pt>
              </c:strCache>
            </c:strRef>
          </c:cat>
          <c:val>
            <c:numRef>
              <c:f>Questions!$N$69:$N$78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D-4F93-B1B8-6E6CE8B2A4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29685519"/>
        <c:axId val="1729697519"/>
      </c:barChart>
      <c:catAx>
        <c:axId val="1729685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697519"/>
        <c:crosses val="autoZero"/>
        <c:auto val="1"/>
        <c:lblAlgn val="ctr"/>
        <c:lblOffset val="100"/>
        <c:noMultiLvlLbl val="0"/>
      </c:catAx>
      <c:valAx>
        <c:axId val="172969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68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/>
    <cx:plotArea>
      <cx:plotAreaRegion>
        <cx:series layoutId="funnel" uniqueId="{1C8191F8-BCCE-4399-874E-5672688061DD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title pos="t" align="ctr" overlay="0">
      <cx:tx>
        <cx:txData>
          <cx:v>Most Profitable Products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Most Profitable Products</a:t>
          </a:r>
        </a:p>
      </cx:txPr>
    </cx:title>
    <cx:plotArea>
      <cx:plotAreaRegion>
        <cx:series layoutId="funnel" uniqueId="{1C8191F8-BCCE-4399-874E-5672688061DD}">
          <cx:dataPt idx="0">
            <cx:spPr>
              <a:solidFill>
                <a:srgbClr val="F781B1"/>
              </a:solidFill>
            </cx:spPr>
          </cx:dataPt>
          <cx:dataPt idx="1">
            <cx:spPr>
              <a:solidFill>
                <a:srgbClr val="1F497D">
                  <a:lumMod val="50000"/>
                </a:srgbClr>
              </a:solidFill>
            </cx:spPr>
          </cx:dataPt>
          <cx:dataPt idx="2">
            <cx:spPr>
              <a:solidFill>
                <a:srgbClr val="F79646">
                  <a:lumMod val="75000"/>
                </a:srgbClr>
              </a:solidFill>
            </cx:spPr>
          </cx:dataPt>
          <cx:dataPt idx="3">
            <cx:spPr>
              <a:solidFill>
                <a:srgbClr val="A8E274"/>
              </a:solidFill>
            </cx:spPr>
          </cx:dataPt>
          <cx:dataPt idx="4">
            <cx:spPr>
              <a:solidFill>
                <a:srgbClr val="99FF99"/>
              </a:solidFill>
            </cx:spPr>
          </cx:dataPt>
          <cx:dataPt idx="6">
            <cx:spPr>
              <a:solidFill>
                <a:srgbClr val="A7ACF3"/>
              </a:solidFill>
            </cx:spPr>
          </cx:dataPt>
          <cx:dataPt idx="7">
            <cx:spPr>
              <a:solidFill>
                <a:srgbClr val="4F81BD">
                  <a:lumMod val="75000"/>
                </a:srgbClr>
              </a:solidFill>
            </cx:spPr>
          </cx:dataPt>
          <cx:dataPt idx="8">
            <cx:spPr>
              <a:solidFill>
                <a:srgbClr val="F79646">
                  <a:lumMod val="50000"/>
                </a:srgbClr>
              </a:solidFill>
            </cx:spPr>
          </cx:dataPt>
          <cx:dataPt idx="9">
            <cx:spPr>
              <a:solidFill>
                <a:srgbClr val="1F497D">
                  <a:lumMod val="50000"/>
                </a:srgbClr>
              </a:solidFill>
            </cx:spPr>
          </cx:dataPt>
          <cx:dataPt idx="10">
            <cx:spPr>
              <a:solidFill>
                <a:srgbClr val="FFC000"/>
              </a:solidFill>
            </cx:spPr>
          </cx:dataPt>
          <cx:dataPt idx="11">
            <cx:spPr>
              <a:solidFill>
                <a:srgbClr val="FF0000"/>
              </a:solidFill>
            </cx:spPr>
          </cx:dataPt>
          <cx:dataPt idx="12">
            <cx:spPr>
              <a:solidFill>
                <a:srgbClr val="9BBB59"/>
              </a:solidFill>
            </cx:spPr>
          </cx:dataPt>
          <cx:dataPt idx="13">
            <cx:spPr>
              <a:solidFill>
                <a:srgbClr val="4BACC6">
                  <a:lumMod val="60000"/>
                  <a:lumOff val="40000"/>
                </a:srgbClr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13" Type="http://schemas.openxmlformats.org/officeDocument/2006/relationships/hyperlink" Target="#'Sheet1 (2)'!A1"/><Relationship Id="rId3" Type="http://schemas.openxmlformats.org/officeDocument/2006/relationships/chart" Target="../charts/chart5.xml"/><Relationship Id="rId7" Type="http://schemas.openxmlformats.org/officeDocument/2006/relationships/image" Target="../media/image3.png"/><Relationship Id="rId12" Type="http://schemas.openxmlformats.org/officeDocument/2006/relationships/image" Target="../media/image8.sv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2.svg"/><Relationship Id="rId11" Type="http://schemas.openxmlformats.org/officeDocument/2006/relationships/image" Target="../media/image7.png"/><Relationship Id="rId5" Type="http://schemas.openxmlformats.org/officeDocument/2006/relationships/image" Target="../media/image1.png"/><Relationship Id="rId10" Type="http://schemas.openxmlformats.org/officeDocument/2006/relationships/image" Target="../media/image6.svg"/><Relationship Id="rId4" Type="http://schemas.openxmlformats.org/officeDocument/2006/relationships/chart" Target="../charts/chart6.xml"/><Relationship Id="rId9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microsoft.com/office/2014/relationships/chartEx" Target="../charts/chartEx2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1.xml"/><Relationship Id="rId5" Type="http://schemas.openxmlformats.org/officeDocument/2006/relationships/hyperlink" Target="#Sheet1!A1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255495</xdr:colOff>
      <xdr:row>59</xdr:row>
      <xdr:rowOff>134470</xdr:rowOff>
    </xdr:from>
    <xdr:to>
      <xdr:col>21</xdr:col>
      <xdr:colOff>497542</xdr:colOff>
      <xdr:row>75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560C5-3CCE-C848-7256-495514D43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389965</xdr:colOff>
      <xdr:row>89</xdr:row>
      <xdr:rowOff>152400</xdr:rowOff>
    </xdr:from>
    <xdr:to>
      <xdr:col>24</xdr:col>
      <xdr:colOff>13447</xdr:colOff>
      <xdr:row>105</xdr:row>
      <xdr:rowOff>26894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E5F31BF-ADF5-A353-683A-4D1A73470A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88645" y="16520160"/>
              <a:ext cx="4561242" cy="28005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471487</xdr:colOff>
      <xdr:row>43</xdr:row>
      <xdr:rowOff>61086</xdr:rowOff>
    </xdr:from>
    <xdr:to>
      <xdr:col>13</xdr:col>
      <xdr:colOff>88165</xdr:colOff>
      <xdr:row>58</xdr:row>
      <xdr:rowOff>138113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350520</xdr:colOff>
      <xdr:row>1</xdr:row>
      <xdr:rowOff>129540</xdr:rowOff>
    </xdr:from>
    <xdr:to>
      <xdr:col>22</xdr:col>
      <xdr:colOff>495300</xdr:colOff>
      <xdr:row>8</xdr:row>
      <xdr:rowOff>83820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2077700" y="312420"/>
          <a:ext cx="1996440" cy="1234440"/>
        </a:xfrm>
        <a:prstGeom prst="roundRect">
          <a:avLst>
            <a:gd name="adj" fmla="val 15352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solidFill>
                <a:schemeClr val="tx1"/>
              </a:solidFill>
            </a:rPr>
            <a:t>Quantity</a:t>
          </a:r>
          <a:r>
            <a:rPr lang="en-IN" sz="2000" baseline="0">
              <a:solidFill>
                <a:schemeClr val="tx1"/>
              </a:solidFill>
            </a:rPr>
            <a:t> Sold</a:t>
          </a:r>
          <a:endParaRPr lang="en-IN" sz="20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60960</xdr:colOff>
      <xdr:row>1</xdr:row>
      <xdr:rowOff>152400</xdr:rowOff>
    </xdr:from>
    <xdr:to>
      <xdr:col>19</xdr:col>
      <xdr:colOff>205740</xdr:colOff>
      <xdr:row>8</xdr:row>
      <xdr:rowOff>106680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9936480" y="335280"/>
          <a:ext cx="1996440" cy="1234440"/>
        </a:xfrm>
        <a:prstGeom prst="roundRect">
          <a:avLst>
            <a:gd name="adj" fmla="val 15352"/>
          </a:avLst>
        </a:prstGeom>
        <a:solidFill>
          <a:srgbClr val="DEFAE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solidFill>
                <a:schemeClr val="tx1"/>
              </a:solidFill>
            </a:rPr>
            <a:t>Order</a:t>
          </a:r>
        </a:p>
      </xdr:txBody>
    </xdr:sp>
    <xdr:clientData/>
  </xdr:twoCellAnchor>
  <xdr:twoCellAnchor>
    <xdr:from>
      <xdr:col>12</xdr:col>
      <xdr:colOff>350520</xdr:colOff>
      <xdr:row>1</xdr:row>
      <xdr:rowOff>160020</xdr:rowOff>
    </xdr:from>
    <xdr:to>
      <xdr:col>15</xdr:col>
      <xdr:colOff>495300</xdr:colOff>
      <xdr:row>8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7757160" y="342900"/>
          <a:ext cx="1996440" cy="1234440"/>
        </a:xfrm>
        <a:prstGeom prst="roundRect">
          <a:avLst>
            <a:gd name="adj" fmla="val 15352"/>
          </a:avLst>
        </a:prstGeom>
        <a:solidFill>
          <a:srgbClr val="E5DEF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solidFill>
                <a:schemeClr val="tx1"/>
              </a:solidFill>
            </a:rPr>
            <a:t>Profit</a:t>
          </a:r>
        </a:p>
      </xdr:txBody>
    </xdr:sp>
    <xdr:clientData/>
  </xdr:twoCellAnchor>
  <xdr:twoCellAnchor>
    <xdr:from>
      <xdr:col>8</xdr:col>
      <xdr:colOff>594360</xdr:colOff>
      <xdr:row>1</xdr:row>
      <xdr:rowOff>152400</xdr:rowOff>
    </xdr:from>
    <xdr:to>
      <xdr:col>12</xdr:col>
      <xdr:colOff>167640</xdr:colOff>
      <xdr:row>8</xdr:row>
      <xdr:rowOff>106680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5532120" y="335280"/>
          <a:ext cx="2042160" cy="1234440"/>
        </a:xfrm>
        <a:prstGeom prst="roundRect">
          <a:avLst>
            <a:gd name="adj" fmla="val 15352"/>
          </a:avLst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aseline="0">
              <a:solidFill>
                <a:schemeClr val="tx1"/>
              </a:solidFill>
            </a:rPr>
            <a:t> Sales</a:t>
          </a:r>
        </a:p>
        <a:p>
          <a:pPr algn="ctr"/>
          <a:endParaRPr lang="en-IN" sz="20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586740</xdr:colOff>
      <xdr:row>29</xdr:row>
      <xdr:rowOff>7620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0" y="0"/>
          <a:ext cx="1821180" cy="5311140"/>
        </a:xfrm>
        <a:prstGeom prst="roundRect">
          <a:avLst>
            <a:gd name="adj" fmla="val 277"/>
          </a:avLst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76200</xdr:colOff>
      <xdr:row>1</xdr:row>
      <xdr:rowOff>152400</xdr:rowOff>
    </xdr:from>
    <xdr:to>
      <xdr:col>8</xdr:col>
      <xdr:colOff>472440</xdr:colOff>
      <xdr:row>15</xdr:row>
      <xdr:rowOff>106680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927860" y="335280"/>
          <a:ext cx="3482340" cy="2514600"/>
        </a:xfrm>
        <a:prstGeom prst="roundRect">
          <a:avLst>
            <a:gd name="adj" fmla="val 989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45720</xdr:colOff>
      <xdr:row>9</xdr:row>
      <xdr:rowOff>7620</xdr:rowOff>
    </xdr:from>
    <xdr:to>
      <xdr:col>22</xdr:col>
      <xdr:colOff>480060</xdr:colOff>
      <xdr:row>28</xdr:row>
      <xdr:rowOff>106680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9921240" y="1653540"/>
          <a:ext cx="4137660" cy="3573780"/>
        </a:xfrm>
        <a:prstGeom prst="roundRect">
          <a:avLst>
            <a:gd name="adj" fmla="val 9897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594360</xdr:colOff>
      <xdr:row>9</xdr:row>
      <xdr:rowOff>0</xdr:rowOff>
    </xdr:from>
    <xdr:to>
      <xdr:col>15</xdr:col>
      <xdr:colOff>525780</xdr:colOff>
      <xdr:row>28</xdr:row>
      <xdr:rowOff>91440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5532120" y="1645920"/>
          <a:ext cx="4251960" cy="3566160"/>
        </a:xfrm>
        <a:prstGeom prst="roundRect">
          <a:avLst>
            <a:gd name="adj" fmla="val 9897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99060</xdr:colOff>
      <xdr:row>16</xdr:row>
      <xdr:rowOff>22860</xdr:rowOff>
    </xdr:from>
    <xdr:to>
      <xdr:col>8</xdr:col>
      <xdr:colOff>495300</xdr:colOff>
      <xdr:row>28</xdr:row>
      <xdr:rowOff>91440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1950720" y="2948940"/>
          <a:ext cx="3482340" cy="2263140"/>
        </a:xfrm>
        <a:prstGeom prst="roundRect">
          <a:avLst>
            <a:gd name="adj" fmla="val 9897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137160</xdr:colOff>
      <xdr:row>2</xdr:row>
      <xdr:rowOff>60960</xdr:rowOff>
    </xdr:from>
    <xdr:to>
      <xdr:col>8</xdr:col>
      <xdr:colOff>419100</xdr:colOff>
      <xdr:row>15</xdr:row>
      <xdr:rowOff>68580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441960</xdr:colOff>
      <xdr:row>2</xdr:row>
      <xdr:rowOff>30480</xdr:rowOff>
    </xdr:from>
    <xdr:to>
      <xdr:col>8</xdr:col>
      <xdr:colOff>251460</xdr:colOff>
      <xdr:row>4</xdr:row>
      <xdr:rowOff>144780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3528060" y="396240"/>
          <a:ext cx="1661160" cy="4800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Total Sales</a:t>
          </a:r>
          <a:r>
            <a:rPr lang="en-IN" sz="1100" b="1" baseline="0"/>
            <a:t> &amp; Profit By Category</a:t>
          </a:r>
          <a:endParaRPr lang="en-IN" sz="1100" b="1"/>
        </a:p>
      </xdr:txBody>
    </xdr:sp>
    <xdr:clientData/>
  </xdr:twoCellAnchor>
  <xdr:twoCellAnchor>
    <xdr:from>
      <xdr:col>9</xdr:col>
      <xdr:colOff>106680</xdr:colOff>
      <xdr:row>9</xdr:row>
      <xdr:rowOff>167640</xdr:rowOff>
    </xdr:from>
    <xdr:to>
      <xdr:col>15</xdr:col>
      <xdr:colOff>251460</xdr:colOff>
      <xdr:row>27</xdr:row>
      <xdr:rowOff>160020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175260</xdr:colOff>
      <xdr:row>9</xdr:row>
      <xdr:rowOff>53340</xdr:rowOff>
    </xdr:from>
    <xdr:to>
      <xdr:col>22</xdr:col>
      <xdr:colOff>274320</xdr:colOff>
      <xdr:row>27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205740</xdr:colOff>
      <xdr:row>17</xdr:row>
      <xdr:rowOff>0</xdr:rowOff>
    </xdr:from>
    <xdr:to>
      <xdr:col>8</xdr:col>
      <xdr:colOff>281940</xdr:colOff>
      <xdr:row>27</xdr:row>
      <xdr:rowOff>60960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121920</xdr:colOff>
      <xdr:row>10</xdr:row>
      <xdr:rowOff>129540</xdr:rowOff>
    </xdr:from>
    <xdr:to>
      <xdr:col>2</xdr:col>
      <xdr:colOff>442170</xdr:colOff>
      <xdr:row>17</xdr:row>
      <xdr:rowOff>116540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Category">
              <a:extLst>
                <a:ext uri="{FF2B5EF4-FFF2-40B4-BE49-F238E27FC236}">
                  <a16:creationId xmlns:a16="http://schemas.microsoft.com/office/drawing/2014/main" id="{00000000-0008-0000-0600-000011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" y="1958340"/>
              <a:ext cx="1554480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121920</xdr:colOff>
      <xdr:row>18</xdr:row>
      <xdr:rowOff>60960</xdr:rowOff>
    </xdr:from>
    <xdr:to>
      <xdr:col>2</xdr:col>
      <xdr:colOff>472440</xdr:colOff>
      <xdr:row>26</xdr:row>
      <xdr:rowOff>114299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Region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" y="3352800"/>
              <a:ext cx="1584960" cy="15157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13</xdr:col>
      <xdr:colOff>30480</xdr:colOff>
      <xdr:row>5</xdr:row>
      <xdr:rowOff>22860</xdr:rowOff>
    </xdr:from>
    <xdr:to>
      <xdr:col>15</xdr:col>
      <xdr:colOff>228600</xdr:colOff>
      <xdr:row>7</xdr:row>
      <xdr:rowOff>99060</xdr:rowOff>
    </xdr:to>
    <xdr:sp macro="" textlink="Questions!B61">
      <xdr:nvSpPr>
        <xdr:cNvPr id="25" name="TextBox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/>
      </xdr:nvSpPr>
      <xdr:spPr>
        <a:xfrm>
          <a:off x="8054340" y="937260"/>
          <a:ext cx="1432560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A1CAA2A-A434-4B2D-8775-70899481A94E}" type="TxLink">
            <a:rPr lang="en-US" sz="1600" b="1" i="0" u="none" strike="noStrike">
              <a:solidFill>
                <a:schemeClr val="tx1"/>
              </a:solidFill>
              <a:latin typeface="Calibri" panose="020F0502020204030204"/>
              <a:cs typeface="Calibri" panose="020F0502020204030204"/>
            </a:rPr>
            <a:pPr algn="ctr"/>
            <a:t>608.2154</a:t>
          </a:fld>
          <a:endParaRPr lang="en-IN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304800</xdr:colOff>
      <xdr:row>5</xdr:row>
      <xdr:rowOff>53340</xdr:rowOff>
    </xdr:from>
    <xdr:to>
      <xdr:col>11</xdr:col>
      <xdr:colOff>502920</xdr:colOff>
      <xdr:row>7</xdr:row>
      <xdr:rowOff>129540</xdr:rowOff>
    </xdr:to>
    <xdr:sp macro="" textlink="Questions!B60">
      <xdr:nvSpPr>
        <xdr:cNvPr id="26" name="TextBox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/>
      </xdr:nvSpPr>
      <xdr:spPr>
        <a:xfrm>
          <a:off x="5859780" y="967740"/>
          <a:ext cx="1432560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4A1D6FD-1B79-4B28-A66B-F432605364D2}" type="TxLink">
            <a:rPr lang="en-US" sz="1600" b="1" i="0" u="none" strike="noStrike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pPr algn="ctr"/>
            <a:t>8193.8195</a:t>
          </a:fld>
          <a:endParaRPr lang="en-IN" sz="1600" b="1"/>
        </a:p>
      </xdr:txBody>
    </xdr:sp>
    <xdr:clientData/>
  </xdr:twoCellAnchor>
  <xdr:twoCellAnchor>
    <xdr:from>
      <xdr:col>16</xdr:col>
      <xdr:colOff>373380</xdr:colOff>
      <xdr:row>5</xdr:row>
      <xdr:rowOff>45720</xdr:rowOff>
    </xdr:from>
    <xdr:to>
      <xdr:col>18</xdr:col>
      <xdr:colOff>571500</xdr:colOff>
      <xdr:row>7</xdr:row>
      <xdr:rowOff>121920</xdr:rowOff>
    </xdr:to>
    <xdr:sp macro="" textlink="Questions!B62">
      <xdr:nvSpPr>
        <xdr:cNvPr id="27" name="TextBox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10248900" y="960120"/>
          <a:ext cx="1432560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F3D67CB-BF86-40B9-B9C1-700DFEF467CF}" type="TxLink">
            <a:rPr lang="en-US" sz="1600" b="1" i="0" u="none" strike="noStrike">
              <a:solidFill>
                <a:schemeClr val="tx1"/>
              </a:solidFill>
              <a:latin typeface="Calibri" panose="020F0502020204030204"/>
              <a:cs typeface="Calibri" panose="020F0502020204030204"/>
            </a:rPr>
            <a:pPr algn="ctr"/>
            <a:t>20</a:t>
          </a:fld>
          <a:endParaRPr lang="en-IN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594360</xdr:colOff>
      <xdr:row>5</xdr:row>
      <xdr:rowOff>15240</xdr:rowOff>
    </xdr:from>
    <xdr:to>
      <xdr:col>22</xdr:col>
      <xdr:colOff>182880</xdr:colOff>
      <xdr:row>7</xdr:row>
      <xdr:rowOff>91440</xdr:rowOff>
    </xdr:to>
    <xdr:sp macro="" textlink="Questions!B63">
      <xdr:nvSpPr>
        <xdr:cNvPr id="28" name="TextBox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12321540" y="929640"/>
          <a:ext cx="1440180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6293925-567E-437E-BC96-C6C93779FF6C}" type="TxLink">
            <a:rPr lang="en-US" sz="1600" b="1" i="0" u="none" strike="noStrike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pPr algn="ctr"/>
            <a:t>78</a:t>
          </a:fld>
          <a:endParaRPr lang="en-IN" sz="2400" b="1"/>
        </a:p>
      </xdr:txBody>
    </xdr:sp>
    <xdr:clientData/>
  </xdr:twoCellAnchor>
  <xdr:twoCellAnchor>
    <xdr:from>
      <xdr:col>8</xdr:col>
      <xdr:colOff>38100</xdr:colOff>
      <xdr:row>0</xdr:row>
      <xdr:rowOff>0</xdr:rowOff>
    </xdr:from>
    <xdr:to>
      <xdr:col>17</xdr:col>
      <xdr:colOff>121920</xdr:colOff>
      <xdr:row>2</xdr:row>
      <xdr:rowOff>76200</xdr:rowOff>
    </xdr:to>
    <xdr:sp macro="" textlink="Questions!B60">
      <xdr:nvSpPr>
        <xdr:cNvPr id="29" name="TextBox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/>
      </xdr:nvSpPr>
      <xdr:spPr>
        <a:xfrm>
          <a:off x="4975860" y="0"/>
          <a:ext cx="5638800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 i="0" u="none" strike="noStrike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ECommerce</a:t>
          </a:r>
          <a:r>
            <a:rPr lang="en-US" sz="2000" b="1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 Sales Dashboard</a:t>
          </a:r>
          <a:endParaRPr lang="en-IN" sz="2000" b="1"/>
        </a:p>
      </xdr:txBody>
    </xdr:sp>
    <xdr:clientData/>
  </xdr:twoCellAnchor>
  <xdr:twoCellAnchor editAs="oneCell">
    <xdr:from>
      <xdr:col>0</xdr:col>
      <xdr:colOff>91440</xdr:colOff>
      <xdr:row>2</xdr:row>
      <xdr:rowOff>15241</xdr:rowOff>
    </xdr:from>
    <xdr:to>
      <xdr:col>2</xdr:col>
      <xdr:colOff>434340</xdr:colOff>
      <xdr:row>9</xdr:row>
      <xdr:rowOff>121921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Year 1">
              <a:extLst>
                <a:ext uri="{FF2B5EF4-FFF2-40B4-BE49-F238E27FC236}">
                  <a16:creationId xmlns:a16="http://schemas.microsoft.com/office/drawing/2014/main" id="{00000000-0008-0000-0600-00001F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40" y="381000"/>
              <a:ext cx="1577340" cy="1386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279540</xdr:colOff>
      <xdr:row>5</xdr:row>
      <xdr:rowOff>30480</xdr:rowOff>
    </xdr:from>
    <xdr:to>
      <xdr:col>13</xdr:col>
      <xdr:colOff>383820</xdr:colOff>
      <xdr:row>9</xdr:row>
      <xdr:rowOff>12840</xdr:rowOff>
    </xdr:to>
    <xdr:pic>
      <xdr:nvPicPr>
        <xdr:cNvPr id="39" name="Graphic 38" descr="Upward trend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686040" y="944880"/>
          <a:ext cx="721360" cy="713740"/>
        </a:xfrm>
        <a:prstGeom prst="rect">
          <a:avLst/>
        </a:prstGeom>
      </xdr:spPr>
    </xdr:pic>
    <xdr:clientData/>
  </xdr:twoCellAnchor>
  <xdr:twoCellAnchor editAs="oneCell">
    <xdr:from>
      <xdr:col>9</xdr:col>
      <xdr:colOff>144780</xdr:colOff>
      <xdr:row>5</xdr:row>
      <xdr:rowOff>30480</xdr:rowOff>
    </xdr:from>
    <xdr:to>
      <xdr:col>10</xdr:col>
      <xdr:colOff>7620</xdr:colOff>
      <xdr:row>7</xdr:row>
      <xdr:rowOff>137160</xdr:rowOff>
    </xdr:to>
    <xdr:pic>
      <xdr:nvPicPr>
        <xdr:cNvPr id="41" name="Graphic 40" descr="Rupee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99760" y="944880"/>
          <a:ext cx="480060" cy="472440"/>
        </a:xfrm>
        <a:prstGeom prst="rect">
          <a:avLst/>
        </a:prstGeom>
      </xdr:spPr>
    </xdr:pic>
    <xdr:clientData/>
  </xdr:twoCellAnchor>
  <xdr:twoCellAnchor editAs="oneCell">
    <xdr:from>
      <xdr:col>19</xdr:col>
      <xdr:colOff>388620</xdr:colOff>
      <xdr:row>4</xdr:row>
      <xdr:rowOff>45720</xdr:rowOff>
    </xdr:from>
    <xdr:to>
      <xdr:col>20</xdr:col>
      <xdr:colOff>485280</xdr:colOff>
      <xdr:row>8</xdr:row>
      <xdr:rowOff>20460</xdr:rowOff>
    </xdr:to>
    <xdr:pic>
      <xdr:nvPicPr>
        <xdr:cNvPr id="43" name="Graphic 42" descr="Box trolley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2115800" y="777240"/>
          <a:ext cx="713740" cy="706120"/>
        </a:xfrm>
        <a:prstGeom prst="rect">
          <a:avLst/>
        </a:prstGeom>
      </xdr:spPr>
    </xdr:pic>
    <xdr:clientData/>
  </xdr:twoCellAnchor>
  <xdr:twoCellAnchor editAs="oneCell">
    <xdr:from>
      <xdr:col>16</xdr:col>
      <xdr:colOff>68580</xdr:colOff>
      <xdr:row>4</xdr:row>
      <xdr:rowOff>121920</xdr:rowOff>
    </xdr:from>
    <xdr:to>
      <xdr:col>17</xdr:col>
      <xdr:colOff>373380</xdr:colOff>
      <xdr:row>9</xdr:row>
      <xdr:rowOff>121920</xdr:rowOff>
    </xdr:to>
    <xdr:pic>
      <xdr:nvPicPr>
        <xdr:cNvPr id="45" name="Graphic 44" descr="Gauge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944100" y="853440"/>
          <a:ext cx="922020" cy="914400"/>
        </a:xfrm>
        <a:prstGeom prst="rect">
          <a:avLst/>
        </a:prstGeom>
      </xdr:spPr>
    </xdr:pic>
    <xdr:clientData/>
  </xdr:twoCellAnchor>
  <xdr:twoCellAnchor>
    <xdr:from>
      <xdr:col>21</xdr:col>
      <xdr:colOff>323022</xdr:colOff>
      <xdr:row>26</xdr:row>
      <xdr:rowOff>149088</xdr:rowOff>
    </xdr:from>
    <xdr:to>
      <xdr:col>23</xdr:col>
      <xdr:colOff>8283</xdr:colOff>
      <xdr:row>28</xdr:row>
      <xdr:rowOff>165652</xdr:rowOff>
    </xdr:to>
    <xdr:sp macro="" textlink="">
      <xdr:nvSpPr>
        <xdr:cNvPr id="48" name="Rectangle: Rounded Corners 4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/>
      </xdr:nvSpPr>
      <xdr:spPr>
        <a:xfrm>
          <a:off x="13284200" y="4903470"/>
          <a:ext cx="920115" cy="38227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tx1"/>
              </a:solidFill>
            </a:rPr>
            <a:t>NEXT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586740</xdr:colOff>
      <xdr:row>29</xdr:row>
      <xdr:rowOff>7620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0" y="0"/>
          <a:ext cx="1821180" cy="5311140"/>
        </a:xfrm>
        <a:prstGeom prst="roundRect">
          <a:avLst>
            <a:gd name="adj" fmla="val 277"/>
          </a:avLst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129540</xdr:colOff>
      <xdr:row>2</xdr:row>
      <xdr:rowOff>68580</xdr:rowOff>
    </xdr:from>
    <xdr:to>
      <xdr:col>8</xdr:col>
      <xdr:colOff>381000</xdr:colOff>
      <xdr:row>14</xdr:row>
      <xdr:rowOff>30480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981200" y="434340"/>
          <a:ext cx="3337560" cy="2156460"/>
        </a:xfrm>
        <a:prstGeom prst="roundRect">
          <a:avLst>
            <a:gd name="adj" fmla="val 989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434340</xdr:colOff>
      <xdr:row>14</xdr:row>
      <xdr:rowOff>99060</xdr:rowOff>
    </xdr:from>
    <xdr:to>
      <xdr:col>22</xdr:col>
      <xdr:colOff>510540</xdr:colOff>
      <xdr:row>28</xdr:row>
      <xdr:rowOff>76200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5372100" y="2659380"/>
          <a:ext cx="8717280" cy="2537460"/>
        </a:xfrm>
        <a:prstGeom prst="roundRect">
          <a:avLst>
            <a:gd name="adj" fmla="val 9897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436563</xdr:colOff>
      <xdr:row>2</xdr:row>
      <xdr:rowOff>79374</xdr:rowOff>
    </xdr:from>
    <xdr:to>
      <xdr:col>14</xdr:col>
      <xdr:colOff>160020</xdr:colOff>
      <xdr:row>14</xdr:row>
      <xdr:rowOff>68579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5374005" y="444500"/>
          <a:ext cx="3427095" cy="2183765"/>
        </a:xfrm>
        <a:prstGeom prst="roundRect">
          <a:avLst>
            <a:gd name="adj" fmla="val 9897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99060</xdr:colOff>
      <xdr:row>14</xdr:row>
      <xdr:rowOff>63500</xdr:rowOff>
    </xdr:from>
    <xdr:to>
      <xdr:col>8</xdr:col>
      <xdr:colOff>420688</xdr:colOff>
      <xdr:row>28</xdr:row>
      <xdr:rowOff>91440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1950720" y="2623820"/>
          <a:ext cx="3407410" cy="2588260"/>
        </a:xfrm>
        <a:prstGeom prst="roundRect">
          <a:avLst>
            <a:gd name="adj" fmla="val 9897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121920</xdr:colOff>
      <xdr:row>10</xdr:row>
      <xdr:rowOff>111125</xdr:rowOff>
    </xdr:from>
    <xdr:to>
      <xdr:col>2</xdr:col>
      <xdr:colOff>442170</xdr:colOff>
      <xdr:row>17</xdr:row>
      <xdr:rowOff>22860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Category 1">
              <a:extLst>
                <a:ext uri="{FF2B5EF4-FFF2-40B4-BE49-F238E27FC236}">
                  <a16:creationId xmlns:a16="http://schemas.microsoft.com/office/drawing/2014/main" id="{00000000-0008-0000-0700-000010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" y="1939925"/>
              <a:ext cx="1554480" cy="11918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121920</xdr:colOff>
      <xdr:row>18</xdr:row>
      <xdr:rowOff>60960</xdr:rowOff>
    </xdr:from>
    <xdr:to>
      <xdr:col>2</xdr:col>
      <xdr:colOff>472440</xdr:colOff>
      <xdr:row>26</xdr:row>
      <xdr:rowOff>114299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Region 1">
              <a:extLst>
                <a:ext uri="{FF2B5EF4-FFF2-40B4-BE49-F238E27FC236}">
                  <a16:creationId xmlns:a16="http://schemas.microsoft.com/office/drawing/2014/main" id="{00000000-0008-0000-0700-000011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" y="3352800"/>
              <a:ext cx="1584960" cy="15157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91440</xdr:colOff>
      <xdr:row>2</xdr:row>
      <xdr:rowOff>15241</xdr:rowOff>
    </xdr:from>
    <xdr:to>
      <xdr:col>2</xdr:col>
      <xdr:colOff>434340</xdr:colOff>
      <xdr:row>9</xdr:row>
      <xdr:rowOff>121921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Year 2">
              <a:extLst>
                <a:ext uri="{FF2B5EF4-FFF2-40B4-BE49-F238E27FC236}">
                  <a16:creationId xmlns:a16="http://schemas.microsoft.com/office/drawing/2014/main" id="{00000000-0008-0000-0700-00001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2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40" y="381000"/>
              <a:ext cx="1577340" cy="1386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14</xdr:col>
      <xdr:colOff>205740</xdr:colOff>
      <xdr:row>2</xdr:row>
      <xdr:rowOff>68580</xdr:rowOff>
    </xdr:from>
    <xdr:to>
      <xdr:col>22</xdr:col>
      <xdr:colOff>495300</xdr:colOff>
      <xdr:row>14</xdr:row>
      <xdr:rowOff>76200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846820" y="434340"/>
          <a:ext cx="5227320" cy="2202180"/>
        </a:xfrm>
        <a:prstGeom prst="roundRect">
          <a:avLst>
            <a:gd name="adj" fmla="val 9897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3</xdr:col>
      <xdr:colOff>198120</xdr:colOff>
      <xdr:row>2</xdr:row>
      <xdr:rowOff>152400</xdr:rowOff>
    </xdr:from>
    <xdr:to>
      <xdr:col>8</xdr:col>
      <xdr:colOff>259080</xdr:colOff>
      <xdr:row>14</xdr:row>
      <xdr:rowOff>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327660</xdr:colOff>
      <xdr:row>2</xdr:row>
      <xdr:rowOff>160020</xdr:rowOff>
    </xdr:from>
    <xdr:to>
      <xdr:col>22</xdr:col>
      <xdr:colOff>462643</xdr:colOff>
      <xdr:row>14</xdr:row>
      <xdr:rowOff>45720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434340</xdr:colOff>
      <xdr:row>2</xdr:row>
      <xdr:rowOff>45720</xdr:rowOff>
    </xdr:from>
    <xdr:to>
      <xdr:col>14</xdr:col>
      <xdr:colOff>22860</xdr:colOff>
      <xdr:row>14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167640</xdr:colOff>
      <xdr:row>15</xdr:row>
      <xdr:rowOff>31750</xdr:rowOff>
    </xdr:from>
    <xdr:to>
      <xdr:col>8</xdr:col>
      <xdr:colOff>325438</xdr:colOff>
      <xdr:row>29</xdr:row>
      <xdr:rowOff>13017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3" name="Chart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4" name="Chart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21</xdr:col>
      <xdr:colOff>309562</xdr:colOff>
      <xdr:row>27</xdr:row>
      <xdr:rowOff>23812</xdr:rowOff>
    </xdr:from>
    <xdr:to>
      <xdr:col>22</xdr:col>
      <xdr:colOff>603250</xdr:colOff>
      <xdr:row>29</xdr:row>
      <xdr:rowOff>7938</xdr:rowOff>
    </xdr:to>
    <xdr:sp macro="" textlink="">
      <xdr:nvSpPr>
        <xdr:cNvPr id="35" name="Rectangle: Rounded Corners 3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13270865" y="4961255"/>
          <a:ext cx="911225" cy="349885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BACK</a:t>
          </a:r>
        </a:p>
      </xdr:txBody>
    </xdr:sp>
    <xdr:clientData/>
  </xdr:twoCellAnchor>
  <xdr:twoCellAnchor>
    <xdr:from>
      <xdr:col>8</xdr:col>
      <xdr:colOff>444501</xdr:colOff>
      <xdr:row>13</xdr:row>
      <xdr:rowOff>158751</xdr:rowOff>
    </xdr:from>
    <xdr:to>
      <xdr:col>15</xdr:col>
      <xdr:colOff>357188</xdr:colOff>
      <xdr:row>28</xdr:row>
      <xdr:rowOff>163514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59C542-85F9-4A9A-8EAA-A9A8A5AB7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468313</xdr:colOff>
      <xdr:row>14</xdr:row>
      <xdr:rowOff>7938</xdr:rowOff>
    </xdr:from>
    <xdr:to>
      <xdr:col>22</xdr:col>
      <xdr:colOff>87313</xdr:colOff>
      <xdr:row>29</xdr:row>
      <xdr:rowOff>12700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84F80E0-A02C-43EA-9E3D-D0BDA03AC9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09393" y="2568258"/>
              <a:ext cx="4556760" cy="27479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01.713944097202" createdVersion="8" refreshedVersion="8" minRefreshableVersion="3" recordCount="20" xr:uid="{00000000-000A-0000-FFFF-FFFF00000000}">
  <cacheSource type="worksheet">
    <worksheetSource name="Table6"/>
  </cacheSource>
  <cacheFields count="30">
    <cacheField name="Row ID" numFmtId="0">
      <sharedItems containsSemiMixedTypes="0" containsNonDate="0" containsString="0" containsNumber="1" containsInteger="1" minValue="1" maxValue="20"/>
    </cacheField>
    <cacheField name="Order ID" numFmtId="0">
      <sharedItems containsNonDate="0"/>
    </cacheField>
    <cacheField name="Order Date" numFmtId="14">
      <sharedItems containsSemiMixedTypes="0" containsNonDate="0" containsDate="1" containsString="0" minDate="2014-05-13T00:00:00" maxDate="2017-07-16T00:00:00" count="10">
        <d v="2016-11-08T00:00:00"/>
        <d v="2015-09-25T00:00:00"/>
        <d v="2015-10-11T00:00:00"/>
        <d v="2014-06-09T00:00:00"/>
        <d v="2017-04-15T00:00:00"/>
        <d v="2016-12-05T00:00:00"/>
        <d v="2017-07-16T00:00:00"/>
        <d v="2014-08-27T00:00:00"/>
        <d v="2014-11-11T00:00:00"/>
        <d v="2014-05-13T00:00:00"/>
      </sharedItems>
    </cacheField>
    <cacheField name="Year" numFmtId="0">
      <sharedItems containsSemiMixedTypes="0" containsString="0" containsNumber="1" containsInteger="1" minValue="0" maxValue="2017" count="4">
        <n v="2016"/>
        <n v="2015"/>
        <n v="2014"/>
        <n v="2017"/>
      </sharedItems>
    </cacheField>
    <cacheField name="Month" numFmtId="0">
      <sharedItems containsSemiMixedTypes="0" containsString="0" containsNumber="1" containsInteger="1" minValue="0" maxValue="12" count="9">
        <n v="11"/>
        <n v="9"/>
        <n v="10"/>
        <n v="6"/>
        <n v="4"/>
        <n v="12"/>
        <n v="7"/>
        <n v="8"/>
        <n v="5"/>
      </sharedItems>
    </cacheField>
    <cacheField name="Ship Date" numFmtId="14">
      <sharedItems containsSemiMixedTypes="0" containsNonDate="0" containsDate="1" containsString="0" minDate="2014-05-15T00:00:00" maxDate="2017-07-19T00:00:00"/>
    </cacheField>
    <cacheField name="Ship Mode" numFmtId="0">
      <sharedItems count="2">
        <s v="Second Class"/>
        <s v="Standard Class"/>
      </sharedItems>
    </cacheField>
    <cacheField name="Customer ID" numFmtId="0">
      <sharedItems containsNonDate="0"/>
    </cacheField>
    <cacheField name="Customer Name" numFmtId="0">
      <sharedItems count="10">
        <s v="Claire Gute"/>
        <s v="Emily Burns"/>
        <s v="Sean O'Donnell"/>
        <s v="Brosina Hoffman"/>
        <s v="Andrew Allen"/>
        <s v="Irene Maddox"/>
        <s v="Sandra Flanagan"/>
        <s v="Zuschuss Donatelli"/>
        <s v="Pete Kriz"/>
        <s v="Alejandro Grove"/>
      </sharedItems>
    </cacheField>
    <cacheField name="Birthdate2" numFmtId="14">
      <sharedItems containsSemiMixedTypes="0" containsNonDate="0" containsDate="1" containsString="0" minDate="1991-02-26T00:00:00" maxDate="2018-08-31T00:00:00"/>
    </cacheField>
    <cacheField name="ColumAge customern1" numFmtId="0">
      <sharedItems containsSemiMixedTypes="0" containsNonDate="0" containsString="0" containsNumber="1" containsInteger="1" minValue="6" maxValue="34"/>
    </cacheField>
    <cacheField name="Age grp" numFmtId="0">
      <sharedItems containsNonDate="0"/>
    </cacheField>
    <cacheField name="Segment" numFmtId="0">
      <sharedItems count="1">
        <s v="Consumer"/>
      </sharedItems>
    </cacheField>
    <cacheField name="Country" numFmtId="0">
      <sharedItems containsNonDate="0"/>
    </cacheField>
    <cacheField name="City" numFmtId="0">
      <sharedItems count="10">
        <s v="Henderson"/>
        <s v="Orem"/>
        <s v="Fort Lauderdale"/>
        <s v="Los Angeles"/>
        <s v="Concord"/>
        <s v="Seattle"/>
        <s v="Philadelphia"/>
        <s v="San Francisco"/>
        <s v="Madison"/>
        <s v="West Jordan"/>
      </sharedItems>
    </cacheField>
    <cacheField name="State" numFmtId="0">
      <sharedItems containsNonDate="0"/>
    </cacheField>
    <cacheField name="Postal Code" numFmtId="0">
      <sharedItems containsSemiMixedTypes="0" containsNonDate="0" containsString="0" containsNumber="1" containsInteger="1" minValue="19140" maxValue="98103"/>
    </cacheField>
    <cacheField name="Region" numFmtId="0">
      <sharedItems count="4">
        <s v="South"/>
        <s v="West"/>
        <s v="East"/>
        <s v="Central"/>
      </sharedItems>
    </cacheField>
    <cacheField name="Product ID" numFmtId="0">
      <sharedItems containsNonDate="0"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0">
        <s v="Bookcases"/>
        <s v="Chairs"/>
        <s v="Tables"/>
        <s v="Storage"/>
        <s v="Furnishings"/>
        <s v="Art"/>
        <s v="Phones"/>
        <s v="Binders"/>
        <s v="Appliances"/>
        <s v="Paper"/>
      </sharedItems>
    </cacheField>
    <cacheField name="Product Name" numFmtId="0">
      <sharedItems count="19">
        <s v="Bush Somerset Collection Bookcase"/>
        <s v="Hon Deluxe Fabric Upholstered Stacking Chairs, Rounded Back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Global Deluxe Stacking Chair, Gray"/>
        <s v="Wilson Jones Hanging View Binder, White, 1&quot;"/>
        <s v="Stur-D-Stor Shelving, Vertical 5-Shelf: 72&quot;H x 36&quot;W x 18 1/2&quot;D"/>
        <s v="Fellowes Super Stor/Drawer"/>
        <s v="Newell 341"/>
        <s v="Cisco SPA 501G IP Phone"/>
      </sharedItems>
    </cacheField>
    <cacheField name="Sales" numFmtId="0">
      <sharedItems containsSemiMixedTypes="0" containsNonDate="0" containsString="0" containsNumber="1" minValue="7.28" maxValue="1706.1840000000002"/>
    </cacheField>
    <cacheField name="Quantity" numFmtId="0">
      <sharedItems containsSemiMixedTypes="0" containsNonDate="0" containsString="0" containsNumber="1" containsInteger="1" minValue="2" maxValue="9"/>
    </cacheField>
    <cacheField name="Discount" numFmtId="0">
      <sharedItems containsSemiMixedTypes="0" containsString="0" containsNumber="1" minValue="0" maxValue="0.7" count="6">
        <n v="0"/>
        <n v="0.45"/>
        <n v="0.2"/>
        <n v="0.3"/>
        <n v="0.7"/>
        <n v="0.56000000000000005"/>
      </sharedItems>
    </cacheField>
    <cacheField name="Profit" numFmtId="0">
      <sharedItems containsSemiMixedTypes="0" containsString="0" containsNumber="1" minValue="-383.03100000000001" maxValue="240.26490000000001" count="20">
        <n v="41.913600000000002"/>
        <n v="219.58199999999999"/>
        <n v="240.26490000000001"/>
        <n v="-383.03100000000001"/>
        <n v="2.5164"/>
        <n v="14.1694"/>
        <n v="1.9656"/>
        <n v="90.715199999999996"/>
        <n v="5.7824999999999998"/>
        <n v="34.47"/>
        <n v="85.309199999999805"/>
        <n v="68.356800000000007"/>
        <n v="5.4432"/>
        <n v="132.59219999999999"/>
        <n v="-1.0196000000000001"/>
        <n v="7.3840000000000003"/>
        <n v="13.317600000000001"/>
        <n v="9.99"/>
        <n v="2.4824000000000002"/>
        <n v="16.010999999999999"/>
      </sharedItems>
    </cacheField>
    <cacheField name="grp discount2" numFmtId="0">
      <sharedItems count="3">
        <s v="No Discount"/>
        <s v="Between 0 to 5% discount"/>
        <s v="Greater than 5% Discount"/>
      </sharedItems>
    </cacheField>
    <cacheField name="Months (Order Date)" numFmtId="0" databaseField="0">
      <fieldGroup base="2">
        <rangePr groupBy="months" startDate="2014-05-13T00:00:00" endDate="2017-07-17T00:00:00"/>
        <groupItems count="14">
          <s v="&lt;13-05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7-07-2017"/>
        </groupItems>
      </fieldGroup>
    </cacheField>
    <cacheField name="Quarters (Order Date)" numFmtId="0" databaseField="0">
      <fieldGroup base="2">
        <rangePr groupBy="quarters" startDate="2014-05-13T00:00:00" endDate="2017-07-17T00:00:00"/>
        <groupItems count="6">
          <s v="&lt;13-05-2014"/>
          <s v="Qtr1"/>
          <s v="Qtr2"/>
          <s v="Qtr3"/>
          <s v="Qtr4"/>
          <s v="&gt;17-07-2017"/>
        </groupItems>
      </fieldGroup>
    </cacheField>
    <cacheField name="Years (Order Date)" numFmtId="0" databaseField="0">
      <fieldGroup base="2">
        <rangePr groupBy="years" startDate="2014-05-13T00:00:00" endDate="2017-07-17T00:00:00"/>
        <groupItems count="6">
          <s v="&lt;13-05-2014"/>
          <s v="2014"/>
          <s v="2015"/>
          <s v="2016"/>
          <s v="2017"/>
          <s v="&gt;17-07-2017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s v="CA-2016-152156"/>
    <x v="0"/>
    <x v="0"/>
    <x v="0"/>
    <d v="2016-11-11T00:00:00"/>
    <x v="0"/>
    <s v="CG-12520"/>
    <x v="0"/>
    <d v="2002-01-04T00:00:00"/>
    <n v="23"/>
    <s v="Senior"/>
    <x v="0"/>
    <s v="United States"/>
    <x v="0"/>
    <s v="Kentucky"/>
    <n v="42420"/>
    <x v="0"/>
    <s v="FUR-BO-10001798"/>
    <x v="0"/>
    <x v="0"/>
    <x v="0"/>
    <n v="261.95999999999998"/>
    <n v="2"/>
    <x v="0"/>
    <x v="0"/>
    <x v="0"/>
  </r>
  <r>
    <n v="2"/>
    <s v="CA-2016-152156"/>
    <x v="0"/>
    <x v="0"/>
    <x v="0"/>
    <d v="2016-11-11T00:00:00"/>
    <x v="0"/>
    <s v="CG-12520"/>
    <x v="0"/>
    <d v="2004-01-07T00:00:00"/>
    <n v="21"/>
    <s v="Senior"/>
    <x v="0"/>
    <s v="United States"/>
    <x v="0"/>
    <s v="Kentucky"/>
    <n v="42420"/>
    <x v="0"/>
    <s v="FUR-CH-10000454"/>
    <x v="0"/>
    <x v="1"/>
    <x v="1"/>
    <n v="731.93999999999994"/>
    <n v="3"/>
    <x v="0"/>
    <x v="1"/>
    <x v="0"/>
  </r>
  <r>
    <n v="3"/>
    <s v="CA-2015-106320"/>
    <x v="1"/>
    <x v="1"/>
    <x v="1"/>
    <d v="2015-09-30T00:00:00"/>
    <x v="1"/>
    <s v="EB-13870"/>
    <x v="1"/>
    <d v="2017-06-04T00:00:00"/>
    <n v="7"/>
    <s v="Teenager"/>
    <x v="0"/>
    <s v="United States"/>
    <x v="1"/>
    <s v="Utah"/>
    <n v="84057"/>
    <x v="1"/>
    <s v="FUR-TA-10000577"/>
    <x v="0"/>
    <x v="2"/>
    <x v="2"/>
    <n v="1044.6299999999999"/>
    <n v="3"/>
    <x v="0"/>
    <x v="2"/>
    <x v="0"/>
  </r>
  <r>
    <n v="4"/>
    <s v="US-2015-108966"/>
    <x v="2"/>
    <x v="1"/>
    <x v="2"/>
    <d v="2015-10-18T00:00:00"/>
    <x v="1"/>
    <s v="SO-20335"/>
    <x v="2"/>
    <d v="2003-12-12T00:00:00"/>
    <n v="21"/>
    <s v="Senior"/>
    <x v="0"/>
    <s v="United States"/>
    <x v="2"/>
    <s v="Florida"/>
    <n v="33311"/>
    <x v="0"/>
    <s v="FUR-TA-10000577"/>
    <x v="0"/>
    <x v="2"/>
    <x v="2"/>
    <n v="957.57749999999999"/>
    <n v="5"/>
    <x v="1"/>
    <x v="3"/>
    <x v="1"/>
  </r>
  <r>
    <n v="5"/>
    <s v="US-2015-108966"/>
    <x v="2"/>
    <x v="1"/>
    <x v="2"/>
    <d v="2015-10-18T00:00:00"/>
    <x v="1"/>
    <s v="SO-20335"/>
    <x v="2"/>
    <d v="2011-11-03T00:00:00"/>
    <n v="13"/>
    <s v="Adult"/>
    <x v="0"/>
    <s v="United States"/>
    <x v="2"/>
    <s v="Florida"/>
    <n v="33311"/>
    <x v="0"/>
    <s v="OFF-ST-10000760"/>
    <x v="1"/>
    <x v="3"/>
    <x v="3"/>
    <n v="22.368000000000002"/>
    <n v="2"/>
    <x v="2"/>
    <x v="4"/>
    <x v="1"/>
  </r>
  <r>
    <n v="6"/>
    <s v="CA-2014-115812"/>
    <x v="3"/>
    <x v="2"/>
    <x v="3"/>
    <d v="2014-06-14T00:00:00"/>
    <x v="1"/>
    <s v="BH-11710"/>
    <x v="3"/>
    <d v="2018-08-30T00:00:00"/>
    <n v="6"/>
    <s v="Teenager"/>
    <x v="0"/>
    <s v="United States"/>
    <x v="3"/>
    <s v="California"/>
    <n v="90032"/>
    <x v="1"/>
    <s v="FUR-FU-10001487"/>
    <x v="0"/>
    <x v="4"/>
    <x v="4"/>
    <n v="48.86"/>
    <n v="7"/>
    <x v="0"/>
    <x v="5"/>
    <x v="0"/>
  </r>
  <r>
    <n v="7"/>
    <s v="CA-2014-115812"/>
    <x v="3"/>
    <x v="2"/>
    <x v="3"/>
    <d v="2014-06-14T00:00:00"/>
    <x v="1"/>
    <s v="BH-11710"/>
    <x v="3"/>
    <d v="2003-05-01T00:00:00"/>
    <n v="22"/>
    <s v="Senior"/>
    <x v="0"/>
    <s v="United States"/>
    <x v="3"/>
    <s v="California"/>
    <n v="90032"/>
    <x v="1"/>
    <s v="OFF-AR-10002833"/>
    <x v="1"/>
    <x v="5"/>
    <x v="5"/>
    <n v="7.28"/>
    <n v="4"/>
    <x v="0"/>
    <x v="6"/>
    <x v="0"/>
  </r>
  <r>
    <n v="8"/>
    <s v="CA-2014-115812"/>
    <x v="3"/>
    <x v="2"/>
    <x v="3"/>
    <d v="2014-06-14T00:00:00"/>
    <x v="1"/>
    <s v="BH-11710"/>
    <x v="3"/>
    <d v="1995-04-07T00:00:00"/>
    <n v="30"/>
    <s v="Senior"/>
    <x v="0"/>
    <s v="United States"/>
    <x v="3"/>
    <s v="California"/>
    <n v="90032"/>
    <x v="1"/>
    <s v="TEC-PH-10002275"/>
    <x v="2"/>
    <x v="6"/>
    <x v="6"/>
    <n v="907.15200000000004"/>
    <n v="6"/>
    <x v="2"/>
    <x v="7"/>
    <x v="1"/>
  </r>
  <r>
    <n v="9"/>
    <s v="CA-2014-115812"/>
    <x v="3"/>
    <x v="2"/>
    <x v="3"/>
    <d v="2014-06-14T00:00:00"/>
    <x v="1"/>
    <s v="BH-11710"/>
    <x v="3"/>
    <d v="2017-01-22T00:00:00"/>
    <n v="8"/>
    <s v="Teenager"/>
    <x v="0"/>
    <s v="United States"/>
    <x v="3"/>
    <s v="California"/>
    <n v="90032"/>
    <x v="1"/>
    <s v="OFF-BI-10003910"/>
    <x v="1"/>
    <x v="7"/>
    <x v="7"/>
    <n v="18.504000000000001"/>
    <n v="3"/>
    <x v="2"/>
    <x v="8"/>
    <x v="1"/>
  </r>
  <r>
    <n v="10"/>
    <s v="CA-2014-115812"/>
    <x v="3"/>
    <x v="2"/>
    <x v="3"/>
    <d v="2014-06-14T00:00:00"/>
    <x v="1"/>
    <s v="BH-11710"/>
    <x v="3"/>
    <d v="1991-07-29T00:00:00"/>
    <n v="33"/>
    <s v="Senior"/>
    <x v="0"/>
    <s v="United States"/>
    <x v="3"/>
    <s v="California"/>
    <n v="90032"/>
    <x v="1"/>
    <s v="OFF-AP-10002892"/>
    <x v="1"/>
    <x v="8"/>
    <x v="8"/>
    <n v="114.9"/>
    <n v="5"/>
    <x v="0"/>
    <x v="9"/>
    <x v="0"/>
  </r>
  <r>
    <n v="11"/>
    <s v="CA-2014-115812"/>
    <x v="3"/>
    <x v="2"/>
    <x v="3"/>
    <d v="2014-06-14T00:00:00"/>
    <x v="1"/>
    <s v="BH-11710"/>
    <x v="3"/>
    <d v="2013-10-23T00:00:00"/>
    <n v="11"/>
    <s v="Adult"/>
    <x v="0"/>
    <s v="United States"/>
    <x v="3"/>
    <s v="California"/>
    <n v="90032"/>
    <x v="1"/>
    <s v="FUR-TA-10001539"/>
    <x v="0"/>
    <x v="2"/>
    <x v="9"/>
    <n v="1706.1840000000002"/>
    <n v="9"/>
    <x v="2"/>
    <x v="10"/>
    <x v="1"/>
  </r>
  <r>
    <n v="12"/>
    <s v="CA-2014-115812"/>
    <x v="3"/>
    <x v="2"/>
    <x v="3"/>
    <d v="2014-06-14T00:00:00"/>
    <x v="1"/>
    <s v="BH-11710"/>
    <x v="3"/>
    <d v="2016-09-17T00:00:00"/>
    <n v="8"/>
    <s v="Teenager"/>
    <x v="0"/>
    <s v="United States"/>
    <x v="3"/>
    <s v="California"/>
    <n v="90032"/>
    <x v="1"/>
    <s v="TEC-PH-10002033"/>
    <x v="2"/>
    <x v="6"/>
    <x v="10"/>
    <n v="911.42399999999998"/>
    <n v="4"/>
    <x v="2"/>
    <x v="11"/>
    <x v="1"/>
  </r>
  <r>
    <n v="13"/>
    <s v="CA-2017-114412"/>
    <x v="4"/>
    <x v="3"/>
    <x v="4"/>
    <d v="2017-04-20T00:00:00"/>
    <x v="1"/>
    <s v="AA-10480"/>
    <x v="4"/>
    <d v="2010-09-04T00:00:00"/>
    <n v="14"/>
    <s v="Adult"/>
    <x v="0"/>
    <s v="United States"/>
    <x v="4"/>
    <s v="North Carolina"/>
    <n v="28027"/>
    <x v="0"/>
    <s v="OFF-PA-10002365"/>
    <x v="1"/>
    <x v="9"/>
    <x v="11"/>
    <n v="15.552000000000003"/>
    <n v="3"/>
    <x v="2"/>
    <x v="12"/>
    <x v="1"/>
  </r>
  <r>
    <n v="14"/>
    <s v="CA-2016-161389"/>
    <x v="5"/>
    <x v="0"/>
    <x v="5"/>
    <d v="2016-12-10T00:00:00"/>
    <x v="1"/>
    <s v="IM-15070"/>
    <x v="5"/>
    <d v="2007-08-26T00:00:00"/>
    <n v="17"/>
    <s v="Adult"/>
    <x v="0"/>
    <s v="United States"/>
    <x v="5"/>
    <s v="Washington"/>
    <n v="98103"/>
    <x v="1"/>
    <s v="OFF-BI-10003656"/>
    <x v="1"/>
    <x v="7"/>
    <x v="12"/>
    <n v="407.97600000000006"/>
    <n v="3"/>
    <x v="2"/>
    <x v="13"/>
    <x v="1"/>
  </r>
  <r>
    <n v="15"/>
    <s v="US-2017-156909"/>
    <x v="6"/>
    <x v="3"/>
    <x v="6"/>
    <d v="2017-07-18T00:00:00"/>
    <x v="0"/>
    <s v="SF-20065"/>
    <x v="6"/>
    <d v="2002-07-22T00:00:00"/>
    <n v="22"/>
    <s v="Senior"/>
    <x v="0"/>
    <s v="United States"/>
    <x v="6"/>
    <s v="Pennsylvania"/>
    <n v="19140"/>
    <x v="2"/>
    <s v="FUR-CH-10002774"/>
    <x v="0"/>
    <x v="1"/>
    <x v="13"/>
    <n v="71.371999999999986"/>
    <n v="2"/>
    <x v="3"/>
    <x v="14"/>
    <x v="1"/>
  </r>
  <r>
    <n v="16"/>
    <s v="CA-2014-143336"/>
    <x v="7"/>
    <x v="2"/>
    <x v="7"/>
    <d v="2014-09-01T00:00:00"/>
    <x v="0"/>
    <s v="ZD-21925"/>
    <x v="7"/>
    <d v="1998-08-14T00:00:00"/>
    <n v="26"/>
    <s v="Senior"/>
    <x v="0"/>
    <s v="United States"/>
    <x v="7"/>
    <s v="California"/>
    <n v="94109"/>
    <x v="1"/>
    <s v="OFF-BI-10002215"/>
    <x v="1"/>
    <x v="7"/>
    <x v="14"/>
    <n v="22.72"/>
    <n v="4"/>
    <x v="2"/>
    <x v="15"/>
    <x v="1"/>
  </r>
  <r>
    <n v="17"/>
    <s v="CA-2014-105893"/>
    <x v="8"/>
    <x v="2"/>
    <x v="0"/>
    <d v="2014-11-18T00:00:00"/>
    <x v="1"/>
    <s v="PK-19075"/>
    <x v="8"/>
    <d v="1998-02-18T00:00:00"/>
    <n v="27"/>
    <s v="Senior"/>
    <x v="0"/>
    <s v="United States"/>
    <x v="8"/>
    <s v="Wisconsin"/>
    <n v="53711"/>
    <x v="3"/>
    <s v="OFF-ST-10004186"/>
    <x v="1"/>
    <x v="3"/>
    <x v="15"/>
    <n v="665.88"/>
    <n v="6"/>
    <x v="4"/>
    <x v="16"/>
    <x v="2"/>
  </r>
  <r>
    <n v="18"/>
    <s v="CA-2014-167164"/>
    <x v="9"/>
    <x v="2"/>
    <x v="8"/>
    <d v="2014-05-15T00:00:00"/>
    <x v="0"/>
    <s v="AG-10270"/>
    <x v="9"/>
    <d v="1998-12-11T00:00:00"/>
    <n v="26"/>
    <s v="Senior"/>
    <x v="0"/>
    <s v="United States"/>
    <x v="9"/>
    <s v="Utah"/>
    <n v="84084"/>
    <x v="1"/>
    <s v="OFF-ST-10000107"/>
    <x v="1"/>
    <x v="3"/>
    <x v="16"/>
    <n v="55.5"/>
    <n v="2"/>
    <x v="0"/>
    <x v="17"/>
    <x v="0"/>
  </r>
  <r>
    <n v="19"/>
    <s v="CA-2014-143336"/>
    <x v="7"/>
    <x v="2"/>
    <x v="7"/>
    <d v="2014-09-01T00:00:00"/>
    <x v="0"/>
    <s v="ZD-21925"/>
    <x v="7"/>
    <d v="2001-09-22T00:00:00"/>
    <n v="23"/>
    <s v="Senior"/>
    <x v="0"/>
    <s v="United States"/>
    <x v="7"/>
    <s v="California"/>
    <n v="94109"/>
    <x v="1"/>
    <s v="OFF-AR-10003056"/>
    <x v="1"/>
    <x v="5"/>
    <x v="17"/>
    <n v="8.56"/>
    <n v="2"/>
    <x v="0"/>
    <x v="18"/>
    <x v="0"/>
  </r>
  <r>
    <n v="20"/>
    <s v="CA-2014-143336"/>
    <x v="7"/>
    <x v="2"/>
    <x v="7"/>
    <d v="2014-09-01T00:00:00"/>
    <x v="0"/>
    <s v="ZD-21925"/>
    <x v="7"/>
    <d v="1991-02-26T00:00:00"/>
    <n v="34"/>
    <s v="Senior"/>
    <x v="0"/>
    <s v="United States"/>
    <x v="7"/>
    <s v="California"/>
    <n v="94109"/>
    <x v="1"/>
    <s v="TEC-PH-10001949"/>
    <x v="2"/>
    <x v="6"/>
    <x v="18"/>
    <n v="213.48000000000002"/>
    <n v="3"/>
    <x v="5"/>
    <x v="1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7">
  <location ref="H14:I20" firstHeaderRow="1" firstDataRow="1" firstDataCol="1"/>
  <pivotFields count="30">
    <pivotField showAll="0"/>
    <pivotField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numFmtId="14" showAll="0"/>
    <pivotField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axis="axisRow" showAll="0" measureFilter="1">
      <items count="11">
        <item x="4"/>
        <item x="2"/>
        <item x="0"/>
        <item x="3"/>
        <item x="8"/>
        <item x="1"/>
        <item x="6"/>
        <item x="7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22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8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5">
  <location ref="J50:K65" firstHeaderRow="1" firstDataRow="1" firstDataCol="1"/>
  <pivotFields count="30">
    <pivotField showAll="0"/>
    <pivotField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10">
        <item x="4"/>
        <item x="8"/>
        <item x="3"/>
        <item x="6"/>
        <item x="7"/>
        <item x="1"/>
        <item x="2"/>
        <item x="0"/>
        <item x="5"/>
        <item t="default"/>
      </items>
    </pivotField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3"/>
    <field x="4"/>
  </rowFields>
  <rowItems count="15">
    <i>
      <x/>
    </i>
    <i r="1">
      <x v="1"/>
    </i>
    <i r="1">
      <x v="2"/>
    </i>
    <i r="1">
      <x v="4"/>
    </i>
    <i r="1">
      <x v="7"/>
    </i>
    <i>
      <x v="1"/>
    </i>
    <i r="1">
      <x v="5"/>
    </i>
    <i r="1">
      <x v="6"/>
    </i>
    <i>
      <x v="2"/>
    </i>
    <i r="1">
      <x v="7"/>
    </i>
    <i r="1">
      <x v="8"/>
    </i>
    <i>
      <x v="3"/>
    </i>
    <i r="1">
      <x/>
    </i>
    <i r="1">
      <x v="3"/>
    </i>
    <i t="grand">
      <x/>
    </i>
  </rowItems>
  <colItems count="1">
    <i/>
  </colItems>
  <dataFields count="1">
    <dataField name="Sum of Sales" fld="22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10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67:B72" firstHeaderRow="1" firstDataRow="1" firstDataCol="1"/>
  <pivotFields count="30">
    <pivotField showAll="0"/>
    <pivotField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7">
  <location ref="H7:I12" firstHeaderRow="1" firstDataRow="1" firstDataCol="1"/>
  <pivotFields count="30">
    <pivotField showAll="0"/>
    <pivotField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numFmtId="14" showAll="0"/>
    <pivotField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7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Sales" fld="22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4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7">
  <location ref="H22:I25" firstHeaderRow="1" firstDataRow="1" firstDataCol="1"/>
  <pivotFields count="30">
    <pivotField showAll="0"/>
    <pivotField dataField="1"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numFmtId="14" showAll="0"/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Order ID" fld="1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9000000}" name="PivotTable9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J68:K79" firstHeaderRow="1" firstDataRow="1" firstDataCol="1"/>
  <pivotFields count="30">
    <pivotField showAll="0"/>
    <pivotField dataField="1"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10">
        <item x="4"/>
        <item x="8"/>
        <item x="3"/>
        <item x="6"/>
        <item x="7"/>
        <item x="1"/>
        <item x="2"/>
        <item x="0"/>
        <item x="5"/>
        <item t="default"/>
      </items>
    </pivotField>
    <pivotField numFmtId="14" showAll="0"/>
    <pivotField showAll="0"/>
    <pivotField showAll="0"/>
    <pivotField axis="axisRow" showAll="0">
      <items count="11">
        <item x="9"/>
        <item x="4"/>
        <item x="3"/>
        <item x="0"/>
        <item x="1"/>
        <item x="5"/>
        <item x="8"/>
        <item x="6"/>
        <item x="2"/>
        <item x="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A000000}" name="PivotTable13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J82:K102" firstHeaderRow="1" firstDataRow="1" firstDataCol="1"/>
  <pivotFields count="30">
    <pivotField showAll="0"/>
    <pivotField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0">
        <item x="8"/>
        <item x="2"/>
        <item x="0"/>
        <item x="9"/>
        <item x="18"/>
        <item x="7"/>
        <item x="4"/>
        <item x="3"/>
        <item x="12"/>
        <item x="16"/>
        <item x="13"/>
        <item x="1"/>
        <item x="10"/>
        <item x="6"/>
        <item x="5"/>
        <item x="17"/>
        <item x="15"/>
        <item x="1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21">
        <item x="3"/>
        <item x="14"/>
        <item x="6"/>
        <item x="18"/>
        <item x="4"/>
        <item x="12"/>
        <item x="8"/>
        <item x="15"/>
        <item x="17"/>
        <item x="16"/>
        <item x="5"/>
        <item x="19"/>
        <item x="9"/>
        <item x="0"/>
        <item x="11"/>
        <item x="10"/>
        <item x="7"/>
        <item x="13"/>
        <item x="1"/>
        <item x="2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1"/>
  </rowFields>
  <rowItems count="20">
    <i>
      <x v="11"/>
    </i>
    <i>
      <x v="8"/>
    </i>
    <i>
      <x v="13"/>
    </i>
    <i>
      <x v="3"/>
    </i>
    <i>
      <x v="12"/>
    </i>
    <i>
      <x v="2"/>
    </i>
    <i>
      <x/>
    </i>
    <i>
      <x v="4"/>
    </i>
    <i>
      <x v="6"/>
    </i>
    <i>
      <x v="16"/>
    </i>
    <i>
      <x v="9"/>
    </i>
    <i>
      <x v="17"/>
    </i>
    <i>
      <x v="5"/>
    </i>
    <i>
      <x v="18"/>
    </i>
    <i>
      <x v="7"/>
    </i>
    <i>
      <x v="15"/>
    </i>
    <i>
      <x v="14"/>
    </i>
    <i>
      <x v="10"/>
    </i>
    <i>
      <x v="1"/>
    </i>
    <i t="grand">
      <x/>
    </i>
  </rowItems>
  <colItems count="1">
    <i/>
  </colItems>
  <dataFields count="1">
    <dataField name="Sum of Profit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7">
  <location ref="H1:J5" firstHeaderRow="0" firstDataRow="1" firstDataCol="1"/>
  <pivotFields count="30">
    <pivotField showAll="0"/>
    <pivotField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numFmtId="14" showAll="0"/>
    <pivotField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>
      <items count="11">
        <item x="4"/>
        <item x="2"/>
        <item x="0"/>
        <item x="3"/>
        <item x="8"/>
        <item x="1"/>
        <item x="6"/>
        <item x="7"/>
        <item x="5"/>
        <item x="9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>
      <items count="21">
        <item x="3"/>
        <item x="14"/>
        <item x="6"/>
        <item x="18"/>
        <item x="4"/>
        <item x="12"/>
        <item x="8"/>
        <item x="15"/>
        <item x="17"/>
        <item x="16"/>
        <item x="5"/>
        <item x="19"/>
        <item x="9"/>
        <item x="0"/>
        <item x="11"/>
        <item x="10"/>
        <item x="7"/>
        <item x="13"/>
        <item x="1"/>
        <item x="2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2" baseField="0" baseItem="0"/>
    <dataField name="Sum of Profit" fld="25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1"/>
          </reference>
          <reference field="19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1"/>
          </reference>
          <reference field="19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1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PivotTable7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4">
  <location ref="J44:K48" firstHeaderRow="1" firstDataRow="1" firstDataCol="1"/>
  <pivotFields count="30">
    <pivotField showAll="0"/>
    <pivotField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2"/>
        <item x="3"/>
        <item x="1"/>
        <item x="5"/>
        <item x="4"/>
        <item t="default"/>
      </items>
    </pivotField>
    <pivotField dataField="1" showAll="0">
      <items count="21">
        <item x="3"/>
        <item x="14"/>
        <item x="6"/>
        <item x="18"/>
        <item x="4"/>
        <item x="12"/>
        <item x="8"/>
        <item x="15"/>
        <item x="17"/>
        <item x="16"/>
        <item x="5"/>
        <item x="19"/>
        <item x="9"/>
        <item x="0"/>
        <item x="11"/>
        <item x="10"/>
        <item x="7"/>
        <item x="13"/>
        <item x="1"/>
        <item x="2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ofit" fld="25" subtotal="average" baseField="26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5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7">
  <location ref="J27:L29" firstHeaderRow="0" firstDataRow="1" firstDataCol="1"/>
  <pivotFields count="30">
    <pivotField showAll="0"/>
    <pivotField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numFmtId="14" showAll="0"/>
    <pivotField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>
      <items count="21">
        <item x="3"/>
        <item x="14"/>
        <item x="6"/>
        <item x="18"/>
        <item x="4"/>
        <item x="12"/>
        <item x="8"/>
        <item x="15"/>
        <item x="17"/>
        <item x="16"/>
        <item x="5"/>
        <item x="19"/>
        <item x="9"/>
        <item x="0"/>
        <item x="11"/>
        <item x="10"/>
        <item x="7"/>
        <item x="13"/>
        <item x="1"/>
        <item x="2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2" baseField="0" baseItem="0"/>
    <dataField name="Sum of Profit" fld="25" baseField="0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6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8">
  <location ref="J31:K42" firstHeaderRow="1" firstDataRow="1" firstDataCol="1"/>
  <pivotFields count="30">
    <pivotField showAll="0"/>
    <pivotField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1">
        <item x="8"/>
        <item x="5"/>
        <item x="7"/>
        <item x="0"/>
        <item x="1"/>
        <item x="4"/>
        <item x="9"/>
        <item x="6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>
      <items count="21">
        <item x="3"/>
        <item x="14"/>
        <item x="6"/>
        <item x="18"/>
        <item x="4"/>
        <item x="12"/>
        <item x="8"/>
        <item x="15"/>
        <item x="17"/>
        <item x="16"/>
        <item x="5"/>
        <item x="19"/>
        <item x="9"/>
        <item x="0"/>
        <item x="11"/>
        <item x="10"/>
        <item x="7"/>
        <item x="13"/>
        <item x="1"/>
        <item x="2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0"/>
  </rowFields>
  <rowItems count="11">
    <i>
      <x v="9"/>
    </i>
    <i>
      <x v="1"/>
    </i>
    <i>
      <x v="6"/>
    </i>
    <i>
      <x v="5"/>
    </i>
    <i>
      <x v="8"/>
    </i>
    <i>
      <x/>
    </i>
    <i>
      <x v="3"/>
    </i>
    <i>
      <x v="2"/>
    </i>
    <i>
      <x v="7"/>
    </i>
    <i>
      <x v="4"/>
    </i>
    <i t="grand">
      <x/>
    </i>
  </rowItems>
  <colItems count="1">
    <i/>
  </colItems>
  <dataFields count="1">
    <dataField name="Sum of Profit" fld="25" baseField="0" baseItem="0"/>
  </dataFields>
  <chartFormats count="1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9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6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5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8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0" count="1" selected="0">
            <x v="7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2000000}" name="PivotTable6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41:C43" firstHeaderRow="0" firstDataRow="1" firstDataCol="1"/>
  <pivotFields count="30">
    <pivotField showAll="0"/>
    <pivotField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numFmtId="14" showAll="0"/>
    <pivotField showAll="0"/>
    <pivotField showAll="0"/>
    <pivotField showAll="0">
      <items count="11">
        <item x="9"/>
        <item x="4"/>
        <item x="3"/>
        <item x="0"/>
        <item x="1"/>
        <item x="5"/>
        <item x="8"/>
        <item x="6"/>
        <item h="1" x="2"/>
        <item h="1" x="7"/>
        <item t="default"/>
      </items>
    </pivotField>
    <pivotField numFmtId="14"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>
      <items count="21">
        <item x="3"/>
        <item x="14"/>
        <item x="6"/>
        <item x="18"/>
        <item x="4"/>
        <item x="12"/>
        <item x="8"/>
        <item x="15"/>
        <item x="17"/>
        <item x="16"/>
        <item x="5"/>
        <item x="19"/>
        <item x="9"/>
        <item x="0"/>
        <item x="11"/>
        <item x="10"/>
        <item x="7"/>
        <item x="13"/>
        <item x="1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2" baseField="0" baseItem="0"/>
    <dataField name="Sum of Profit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C000000}" name="PivotTable3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6" rowHeaderCaption="Coulumns">
  <location ref="A12:B17" firstHeaderRow="1" firstDataRow="1" firstDataCol="1"/>
  <pivotFields count="30">
    <pivotField showAll="0"/>
    <pivotField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numFmtId="14" showAll="0"/>
    <pivotField showAll="0">
      <items count="3">
        <item x="0"/>
        <item x="1"/>
        <item t="default"/>
      </items>
    </pivotField>
    <pivotField showAll="0"/>
    <pivotField showAll="0">
      <items count="11">
        <item x="9"/>
        <item x="4"/>
        <item x="3"/>
        <item x="0"/>
        <item x="1"/>
        <item x="5"/>
        <item x="8"/>
        <item x="6"/>
        <item h="1" x="2"/>
        <item h="1" x="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B000000}" name="PivotTable7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75:B79" firstHeaderRow="1" firstDataRow="1" firstDataCol="1"/>
  <pivotFields count="30">
    <pivotField showAll="0"/>
    <pivotField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numFmtId="14" showAll="0"/>
    <pivotField showAll="0"/>
    <pivotField showAll="0"/>
    <pivotField showAll="0">
      <items count="11">
        <item x="9"/>
        <item x="4"/>
        <item x="3"/>
        <item x="0"/>
        <item x="1"/>
        <item x="5"/>
        <item x="8"/>
        <item x="6"/>
        <item h="1" x="2"/>
        <item h="1" x="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1">
        <item x="3"/>
        <item x="14"/>
        <item x="6"/>
        <item x="18"/>
        <item x="4"/>
        <item x="12"/>
        <item x="8"/>
        <item x="15"/>
        <item x="17"/>
        <item x="16"/>
        <item x="5"/>
        <item x="19"/>
        <item x="9"/>
        <item x="0"/>
        <item x="11"/>
        <item x="10"/>
        <item x="7"/>
        <item x="13"/>
        <item x="1"/>
        <item x="2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ofit" fld="25" subtotal="average" baseField="2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1000000}" name="PivotTable4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25:B31" firstHeaderRow="1" firstDataRow="1" firstDataCol="1"/>
  <pivotFields count="30">
    <pivotField showAll="0"/>
    <pivotField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numFmtId="14" showAll="0"/>
    <pivotField showAll="0">
      <items count="3">
        <item x="0"/>
        <item x="1"/>
        <item t="default"/>
      </items>
    </pivotField>
    <pivotField showAll="0"/>
    <pivotField showAll="0">
      <items count="11">
        <item x="9"/>
        <item x="4"/>
        <item x="3"/>
        <item x="0"/>
        <item x="1"/>
        <item x="5"/>
        <item x="8"/>
        <item x="6"/>
        <item h="1" x="2"/>
        <item h="1" x="7"/>
        <item t="default"/>
      </items>
    </pivotField>
    <pivotField numFmtId="14" showAll="0"/>
    <pivotField showAll="0"/>
    <pivotField showAll="0"/>
    <pivotField showAll="0"/>
    <pivotField showAll="0"/>
    <pivotField axis="axisRow" showAll="0" measureFilter="1">
      <items count="11">
        <item x="4"/>
        <item x="2"/>
        <item x="0"/>
        <item x="3"/>
        <item x="8"/>
        <item x="1"/>
        <item x="6"/>
        <item x="7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22" baseField="0" baseItem="0"/>
  </dataField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0000000}" name="PivotTable10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22">
  <location ref="A126:B132" firstHeaderRow="1" firstDataRow="1" firstDataCol="1"/>
  <pivotFields count="30">
    <pivotField showAll="0"/>
    <pivotField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numFmtId="14" showAll="0"/>
    <pivotField showAll="0"/>
    <pivotField showAll="0"/>
    <pivotField showAll="0">
      <items count="11">
        <item x="9"/>
        <item x="4"/>
        <item x="3"/>
        <item x="0"/>
        <item x="1"/>
        <item x="5"/>
        <item x="8"/>
        <item x="6"/>
        <item h="1" x="2"/>
        <item h="1" x="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20">
        <item x="8"/>
        <item x="2"/>
        <item x="0"/>
        <item x="9"/>
        <item x="18"/>
        <item x="7"/>
        <item x="4"/>
        <item x="3"/>
        <item x="12"/>
        <item x="16"/>
        <item x="13"/>
        <item x="1"/>
        <item x="10"/>
        <item x="6"/>
        <item x="5"/>
        <item x="17"/>
        <item x="15"/>
        <item x="14"/>
        <item x="11"/>
        <item t="default"/>
      </items>
    </pivotField>
    <pivotField showAll="0"/>
    <pivotField showAll="0"/>
    <pivotField showAll="0"/>
    <pivotField dataField="1" showAll="0">
      <items count="21">
        <item x="3"/>
        <item x="14"/>
        <item x="6"/>
        <item x="18"/>
        <item x="4"/>
        <item x="12"/>
        <item x="8"/>
        <item x="15"/>
        <item x="17"/>
        <item x="16"/>
        <item x="5"/>
        <item x="19"/>
        <item x="9"/>
        <item x="0"/>
        <item x="11"/>
        <item x="10"/>
        <item x="7"/>
        <item x="13"/>
        <item x="1"/>
        <item x="2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1"/>
  </rowFields>
  <rowItems count="6">
    <i>
      <x v="3"/>
    </i>
    <i>
      <x v="8"/>
    </i>
    <i>
      <x v="11"/>
    </i>
    <i>
      <x v="12"/>
    </i>
    <i>
      <x v="13"/>
    </i>
    <i t="grand">
      <x/>
    </i>
  </rowItems>
  <colItems count="1">
    <i/>
  </colItems>
  <dataFields count="1">
    <dataField name="Sum of Profit" fld="25" baseField="21" baseItem="3"/>
  </dataFields>
  <pivotTableStyleInfo name="PivotStyleLight16" showRowHeaders="1" showColHeaders="1" showRowStripes="0" showColStripes="0" showLastColumn="1"/>
  <filters count="1">
    <filter fld="2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F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7">
  <location ref="B47:E58" firstHeaderRow="0" firstDataRow="1" firstDataCol="1"/>
  <pivotFields count="30">
    <pivotField showAll="0"/>
    <pivotField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numFmtId="14" showAll="0"/>
    <pivotField showAll="0">
      <items count="3">
        <item x="0"/>
        <item x="1"/>
        <item t="default"/>
      </items>
    </pivotField>
    <pivotField showAll="0"/>
    <pivotField showAll="0">
      <items count="11">
        <item x="9"/>
        <item x="4"/>
        <item x="3"/>
        <item x="0"/>
        <item x="1"/>
        <item x="5"/>
        <item x="8"/>
        <item x="6"/>
        <item h="1" x="2"/>
        <item h="1" x="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11">
        <item x="8"/>
        <item x="5"/>
        <item x="7"/>
        <item x="0"/>
        <item x="1"/>
        <item x="4"/>
        <item x="9"/>
        <item x="6"/>
        <item x="3"/>
        <item x="2"/>
        <item t="default"/>
      </items>
    </pivotField>
    <pivotField showAll="0"/>
    <pivotField showAll="0"/>
    <pivotField showAll="0"/>
    <pivotField showAll="0"/>
    <pivotField dataField="1" showAll="0">
      <items count="21">
        <item x="3"/>
        <item x="14"/>
        <item x="6"/>
        <item x="18"/>
        <item x="4"/>
        <item x="12"/>
        <item x="8"/>
        <item x="15"/>
        <item x="17"/>
        <item x="16"/>
        <item x="5"/>
        <item x="19"/>
        <item x="9"/>
        <item x="0"/>
        <item x="11"/>
        <item x="10"/>
        <item x="7"/>
        <item x="13"/>
        <item x="1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Profit" fld="25" subtotal="max" baseField="20" baseItem="0"/>
    <dataField name="Min of Profit" fld="25" subtotal="min" baseField="20" baseItem="0"/>
    <dataField name="Sum of Profit" fld="2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D000000}" name="PivotTable8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6">
  <location ref="A84:B99" firstHeaderRow="1" firstDataRow="1" firstDataCol="1"/>
  <pivotFields count="30">
    <pivotField showAll="0"/>
    <pivotField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10">
        <item x="4"/>
        <item x="8"/>
        <item x="3"/>
        <item x="6"/>
        <item x="7"/>
        <item x="1"/>
        <item x="2"/>
        <item x="0"/>
        <item x="5"/>
        <item t="default"/>
      </items>
    </pivotField>
    <pivotField numFmtId="14" showAll="0"/>
    <pivotField showAll="0"/>
    <pivotField showAll="0"/>
    <pivotField showAll="0">
      <items count="11">
        <item x="9"/>
        <item x="4"/>
        <item x="3"/>
        <item x="0"/>
        <item x="1"/>
        <item x="5"/>
        <item x="8"/>
        <item x="6"/>
        <item h="1" x="2"/>
        <item h="1" x="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2">
    <field x="3"/>
    <field x="4"/>
  </rowFields>
  <rowItems count="15">
    <i>
      <x/>
    </i>
    <i r="1">
      <x v="1"/>
    </i>
    <i r="1">
      <x v="2"/>
    </i>
    <i r="1">
      <x v="4"/>
    </i>
    <i r="1">
      <x v="7"/>
    </i>
    <i>
      <x v="1"/>
    </i>
    <i r="1">
      <x v="5"/>
    </i>
    <i r="1">
      <x v="6"/>
    </i>
    <i>
      <x v="2"/>
    </i>
    <i r="1">
      <x v="7"/>
    </i>
    <i r="1">
      <x v="8"/>
    </i>
    <i>
      <x v="3"/>
    </i>
    <i r="1">
      <x/>
    </i>
    <i r="1">
      <x v="3"/>
    </i>
    <i t="grand">
      <x/>
    </i>
  </rowItems>
  <colItems count="1">
    <i/>
  </colItems>
  <dataFields count="1">
    <dataField name="Sum of Sales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4000000}" name="PivotTable5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7">
  <location ref="A34:B37" firstHeaderRow="1" firstDataRow="1" firstDataCol="1"/>
  <pivotFields count="30">
    <pivotField showAll="0"/>
    <pivotField dataField="1"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numFmtId="14" showAll="0"/>
    <pivotField axis="axisRow" showAll="0">
      <items count="3">
        <item x="0"/>
        <item x="1"/>
        <item t="default"/>
      </items>
    </pivotField>
    <pivotField showAll="0"/>
    <pivotField showAll="0">
      <items count="11">
        <item x="9"/>
        <item x="4"/>
        <item x="3"/>
        <item x="0"/>
        <item x="1"/>
        <item x="5"/>
        <item x="8"/>
        <item x="6"/>
        <item h="1" x="2"/>
        <item h="1" x="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3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4">
  <location ref="A3:C7" firstHeaderRow="0" firstDataRow="1" firstDataCol="1"/>
  <pivotFields count="30">
    <pivotField showAll="0"/>
    <pivotField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numFmtId="14" showAll="0"/>
    <pivotField showAll="0">
      <items count="3">
        <item x="0"/>
        <item x="1"/>
        <item t="default"/>
      </items>
    </pivotField>
    <pivotField showAll="0"/>
    <pivotField showAll="0">
      <items count="11">
        <item x="9"/>
        <item x="4"/>
        <item x="3"/>
        <item x="0"/>
        <item x="1"/>
        <item x="5"/>
        <item x="8"/>
        <item x="6"/>
        <item h="1" x="2"/>
        <item h="1" x="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>
      <items count="21">
        <item x="3"/>
        <item x="14"/>
        <item x="6"/>
        <item x="18"/>
        <item x="4"/>
        <item x="12"/>
        <item x="8"/>
        <item x="15"/>
        <item x="17"/>
        <item x="16"/>
        <item x="5"/>
        <item x="19"/>
        <item x="9"/>
        <item x="0"/>
        <item x="11"/>
        <item x="10"/>
        <item x="7"/>
        <item x="13"/>
        <item x="1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2" baseField="19" baseItem="0"/>
    <dataField name="Sum of Profit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E000000}" name="PivotTable9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0">
  <location ref="A104:B113" firstHeaderRow="1" firstDataRow="1" firstDataCol="1"/>
  <pivotFields count="30">
    <pivotField showAll="0"/>
    <pivotField dataField="1" showAll="0"/>
    <pivotField numFmtId="14" showAll="0">
      <items count="11">
        <item x="9"/>
        <item x="3"/>
        <item x="7"/>
        <item x="8"/>
        <item x="1"/>
        <item x="2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numFmtId="14" showAll="0"/>
    <pivotField showAll="0"/>
    <pivotField showAll="0"/>
    <pivotField axis="axisRow" showAll="0">
      <items count="11">
        <item x="9"/>
        <item x="4"/>
        <item x="3"/>
        <item x="0"/>
        <item x="1"/>
        <item x="5"/>
        <item x="8"/>
        <item x="6"/>
        <item h="1" x="2"/>
        <item h="1" x="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1" xr10:uid="{00000000-0013-0000-FFFF-FFFF01000000}" sourceName="Year">
  <pivotTables>
    <pivotTable tabId="19" name="PivotTable3"/>
    <pivotTable tabId="21" name="PivotTable9"/>
    <pivotTable tabId="21" name="PivotTable8"/>
    <pivotTable tabId="21" name="PivotTable7"/>
    <pivotTable tabId="21" name="PivotTable6"/>
    <pivotTable tabId="21" name="PivotTable5"/>
    <pivotTable tabId="21" name="PivotTable4"/>
    <pivotTable tabId="21" name="PivotTable3"/>
    <pivotTable tabId="21" name="PivotTable2"/>
    <pivotTable tabId="21" name="PivotTable10"/>
    <pivotTable tabId="21" name="PivotTable1"/>
    <pivotTable tabId="19" name="PivotTable2"/>
    <pivotTable tabId="19" name="PivotTable4"/>
    <pivotTable tabId="19" name="PivotTable5"/>
    <pivotTable tabId="19" name="PivotTable1"/>
    <pivotTable tabId="19" name="PivotTable10"/>
    <pivotTable tabId="19" name="PivotTable13"/>
    <pivotTable tabId="19" name="PivotTable6"/>
    <pivotTable tabId="19" name="PivotTable7"/>
    <pivotTable tabId="19" name="PivotTable8"/>
    <pivotTable tabId="19" name="PivotTable9"/>
  </pivotTables>
  <data>
    <tabular pivotCacheId="1">
      <items count="4">
        <i x="2" s="1"/>
        <i x="1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2000000}" sourceName="Region">
  <pivotTables>
    <pivotTable tabId="19" name="PivotTable2"/>
    <pivotTable tabId="21" name="PivotTable3"/>
  </pivotTables>
  <data>
    <tabular pivotCacheId="1">
      <items count="4">
        <i x="3" s="1"/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00000000-0013-0000-FFFF-FFFF03000000}" sourceName="Category">
  <pivotTables>
    <pivotTable tabId="19" name="PivotTable1"/>
    <pivotTable tabId="21" name="PivotTable1"/>
    <pivotTable tabId="21" name="PivotTable2"/>
    <pivotTable tabId="21" name="PivotTable3"/>
  </pivotTables>
  <data>
    <tabular pivotCacheId="1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00000000-0014-0000-FFFF-FFFF05000000}" cache="Slicer_Year1" caption="Year" style="Slicer Style 1" rowHeight="216000"/>
  <slicer name="Region" xr10:uid="{00000000-0014-0000-FFFF-FFFF04000000}" cache="Slicer_Region" caption="Region" style="Slicer Style 1" rowHeight="234950"/>
  <slicer name="Category" xr10:uid="{00000000-0014-0000-FFFF-FFFF03000000}" cache="Slicer_Category" caption="Category" style="Slicer Style 1" rowHeight="252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2" xr10:uid="{00000000-0014-0000-FFFF-FFFF08000000}" cache="Slicer_Year1" caption="Year" style="Slicer Style 1" rowHeight="216000"/>
  <slicer name="Region 1" xr10:uid="{00000000-0014-0000-FFFF-FFFF07000000}" cache="Slicer_Region" caption="Region" style="Slicer Style 1" rowHeight="234950"/>
  <slicer name="Category 1" xr10:uid="{00000000-0014-0000-FFFF-FFFF06000000}" cache="Slicer_Category" caption="Category" style="Slicer Style 1" rowHeight="25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A1:AA21" totalsRowShown="0">
  <autoFilter ref="A1:AA21" xr:uid="{00000000-0009-0000-0100-000006000000}">
    <filterColumn colId="3">
      <filters>
        <filter val="2014"/>
      </filters>
    </filterColumn>
  </autoFilter>
  <tableColumns count="27">
    <tableColumn id="1" xr3:uid="{00000000-0010-0000-0000-000001000000}" name="Row ID"/>
    <tableColumn id="2" xr3:uid="{00000000-0010-0000-0000-000002000000}" name="Order ID"/>
    <tableColumn id="3" xr3:uid="{00000000-0010-0000-0000-000003000000}" name="Order Date" dataDxfId="9"/>
    <tableColumn id="29" xr3:uid="{00000000-0010-0000-0000-00001D000000}" name="Year" dataDxfId="8">
      <calculatedColumnFormula>YEAR(Table6[[#This Row],[Order Date]])</calculatedColumnFormula>
    </tableColumn>
    <tableColumn id="30" xr3:uid="{00000000-0010-0000-0000-00001E000000}" name="Month" dataDxfId="7">
      <calculatedColumnFormula>TEXT(Table6[[#This Row],[Order Date]],"mmm")</calculatedColumnFormula>
    </tableColumn>
    <tableColumn id="4" xr3:uid="{00000000-0010-0000-0000-000004000000}" name="Ship Date" dataDxfId="6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27" xr3:uid="{00000000-0010-0000-0000-00001B000000}" name="Birthdate2" dataDxfId="5"/>
    <tableColumn id="26" xr3:uid="{00000000-0010-0000-0000-00001A000000}" name="ColumAge customern1" dataDxfId="4"/>
    <tableColumn id="28" xr3:uid="{00000000-0010-0000-0000-00001C000000}" name="Age grp" dataDxfId="3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  <tableColumn id="22" xr3:uid="{00000000-0010-0000-0000-000016000000}" name="grp discount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9.xml"/><Relationship Id="rId3" Type="http://schemas.openxmlformats.org/officeDocument/2006/relationships/pivotTable" Target="../pivotTables/pivotTable14.xml"/><Relationship Id="rId7" Type="http://schemas.openxmlformats.org/officeDocument/2006/relationships/pivotTable" Target="../pivotTables/pivotTable18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pivotTable" Target="../pivotTables/pivotTable17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16.xml"/><Relationship Id="rId10" Type="http://schemas.openxmlformats.org/officeDocument/2006/relationships/pivotTable" Target="../pivotTables/pivotTable21.xml"/><Relationship Id="rId4" Type="http://schemas.openxmlformats.org/officeDocument/2006/relationships/pivotTable" Target="../pivotTables/pivotTable15.xml"/><Relationship Id="rId9" Type="http://schemas.openxmlformats.org/officeDocument/2006/relationships/pivotTable" Target="../pivotTables/pivotTable20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68"/>
  <sheetViews>
    <sheetView zoomScale="131" zoomScaleNormal="131" workbookViewId="0">
      <selection sqref="A1:XFD1"/>
    </sheetView>
  </sheetViews>
  <sheetFormatPr defaultColWidth="9" defaultRowHeight="14.4"/>
  <cols>
    <col min="1" max="1" width="6.88671875" customWidth="1"/>
    <col min="2" max="2" width="14.6640625" customWidth="1"/>
    <col min="3" max="5" width="10.33203125" customWidth="1"/>
    <col min="6" max="6" width="12.77734375" customWidth="1"/>
    <col min="7" max="7" width="11.33203125" customWidth="1"/>
    <col min="8" max="8" width="16" customWidth="1"/>
    <col min="9" max="10" width="18.77734375" customWidth="1"/>
    <col min="11" max="11" width="22.88671875" customWidth="1"/>
    <col min="12" max="12" width="9.21875" customWidth="1"/>
    <col min="13" max="13" width="11.88671875" customWidth="1"/>
    <col min="14" max="14" width="13.88671875" customWidth="1"/>
    <col min="15" max="15" width="13.109375" customWidth="1"/>
    <col min="16" max="16" width="10.88671875" customWidth="1"/>
    <col min="17" max="17" width="6.88671875" customWidth="1"/>
    <col min="18" max="18" width="16.21875" customWidth="1"/>
    <col min="19" max="19" width="13.109375" customWidth="1"/>
    <col min="20" max="20" width="12.44140625" customWidth="1"/>
    <col min="21" max="21" width="57.109375" customWidth="1"/>
    <col min="22" max="22" width="9" customWidth="1"/>
    <col min="23" max="24" width="8.33203125" customWidth="1"/>
    <col min="25" max="25" width="9" customWidth="1"/>
    <col min="26" max="26" width="32.33203125" customWidth="1"/>
    <col min="27" max="27" width="21.44140625" customWidth="1"/>
    <col min="28" max="28" width="8" customWidth="1"/>
    <col min="29" max="29" width="9" customWidth="1"/>
    <col min="30" max="30" width="8" customWidth="1"/>
    <col min="31" max="31" width="9" customWidth="1"/>
    <col min="32" max="32" width="10.77734375" customWidth="1"/>
    <col min="33" max="33" width="8" customWidth="1"/>
    <col min="34" max="34" width="9.77734375" customWidth="1"/>
    <col min="35" max="35" width="13.109375" customWidth="1"/>
    <col min="36" max="36" width="15.88671875" customWidth="1"/>
    <col min="37" max="37" width="11.44140625" customWidth="1"/>
    <col min="38" max="38" width="14.21875" customWidth="1"/>
    <col min="39" max="39" width="10.77734375" customWidth="1"/>
    <col min="40" max="40" width="16.88671875" customWidth="1"/>
    <col min="41" max="41" width="19.77734375" customWidth="1"/>
    <col min="42" max="43" width="15.88671875" customWidth="1"/>
    <col min="44" max="44" width="11.33203125" customWidth="1"/>
    <col min="45" max="45" width="18.6640625" customWidth="1"/>
    <col min="46" max="48" width="18.5546875" customWidth="1"/>
    <col min="49" max="49" width="13.77734375" customWidth="1"/>
    <col min="50" max="50" width="21.44140625" customWidth="1"/>
    <col min="51" max="51" width="10.7773437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>
      <c r="A2">
        <v>1</v>
      </c>
      <c r="B2" t="s">
        <v>27</v>
      </c>
      <c r="C2" s="7">
        <v>42682</v>
      </c>
      <c r="D2">
        <f>YEAR(Table6[[#This Row],[Order Date]])</f>
        <v>2016</v>
      </c>
      <c r="E2" t="str">
        <f>TEXT(Table6[[#This Row],[Order Date]],"mmm")</f>
        <v>Nov</v>
      </c>
      <c r="F2" s="7">
        <v>42685</v>
      </c>
      <c r="G2" t="s">
        <v>28</v>
      </c>
      <c r="H2" t="s">
        <v>29</v>
      </c>
      <c r="I2" t="s">
        <v>30</v>
      </c>
      <c r="J2" s="7">
        <v>37260</v>
      </c>
      <c r="K2">
        <v>23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42420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>
        <v>261.95999999999998</v>
      </c>
      <c r="X2">
        <v>2</v>
      </c>
      <c r="Y2">
        <v>0</v>
      </c>
      <c r="Z2">
        <v>41.913600000000002</v>
      </c>
      <c r="AA2" t="s">
        <v>41</v>
      </c>
    </row>
    <row r="3" spans="1:27" hidden="1">
      <c r="A3">
        <v>2</v>
      </c>
      <c r="B3" t="s">
        <v>27</v>
      </c>
      <c r="C3" s="7">
        <v>42682</v>
      </c>
      <c r="D3">
        <f>YEAR(Table6[[#This Row],[Order Date]])</f>
        <v>2016</v>
      </c>
      <c r="E3" t="str">
        <f>TEXT(Table6[[#This Row],[Order Date]],"mmm")</f>
        <v>Nov</v>
      </c>
      <c r="F3" s="7">
        <v>42685</v>
      </c>
      <c r="G3" t="s">
        <v>28</v>
      </c>
      <c r="H3" t="s">
        <v>29</v>
      </c>
      <c r="I3" t="s">
        <v>30</v>
      </c>
      <c r="J3" s="7">
        <v>37993</v>
      </c>
      <c r="K3">
        <v>21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42420</v>
      </c>
      <c r="R3" t="s">
        <v>36</v>
      </c>
      <c r="S3" t="s">
        <v>42</v>
      </c>
      <c r="T3" t="s">
        <v>38</v>
      </c>
      <c r="U3" t="s">
        <v>43</v>
      </c>
      <c r="V3" t="s">
        <v>44</v>
      </c>
      <c r="W3">
        <v>731.94</v>
      </c>
      <c r="X3">
        <v>3</v>
      </c>
      <c r="Y3">
        <v>0</v>
      </c>
      <c r="Z3">
        <v>219.58199999999999</v>
      </c>
      <c r="AA3" t="s">
        <v>41</v>
      </c>
    </row>
    <row r="4" spans="1:27" hidden="1">
      <c r="A4">
        <v>3</v>
      </c>
      <c r="B4" t="s">
        <v>45</v>
      </c>
      <c r="C4" s="7">
        <v>42272</v>
      </c>
      <c r="D4">
        <f>YEAR(Table6[[#This Row],[Order Date]])</f>
        <v>2015</v>
      </c>
      <c r="E4" t="str">
        <f>TEXT(Table6[[#This Row],[Order Date]],"mmm")</f>
        <v>Sep</v>
      </c>
      <c r="F4" s="7">
        <v>42277</v>
      </c>
      <c r="G4" t="s">
        <v>46</v>
      </c>
      <c r="H4" t="s">
        <v>47</v>
      </c>
      <c r="I4" t="s">
        <v>48</v>
      </c>
      <c r="J4" s="7">
        <v>42890</v>
      </c>
      <c r="K4">
        <v>7</v>
      </c>
      <c r="L4" t="s">
        <v>49</v>
      </c>
      <c r="M4" t="s">
        <v>32</v>
      </c>
      <c r="N4" t="s">
        <v>33</v>
      </c>
      <c r="O4" t="s">
        <v>50</v>
      </c>
      <c r="P4" t="s">
        <v>51</v>
      </c>
      <c r="Q4">
        <v>84057</v>
      </c>
      <c r="R4" t="s">
        <v>52</v>
      </c>
      <c r="S4" t="s">
        <v>53</v>
      </c>
      <c r="T4" t="s">
        <v>38</v>
      </c>
      <c r="U4" t="s">
        <v>54</v>
      </c>
      <c r="V4" t="s">
        <v>55</v>
      </c>
      <c r="W4">
        <v>1044.6300000000001</v>
      </c>
      <c r="X4">
        <v>3</v>
      </c>
      <c r="Y4">
        <v>0</v>
      </c>
      <c r="Z4">
        <v>240.26490000000001</v>
      </c>
      <c r="AA4" t="s">
        <v>41</v>
      </c>
    </row>
    <row r="5" spans="1:27" hidden="1">
      <c r="A5">
        <v>4</v>
      </c>
      <c r="B5" t="s">
        <v>56</v>
      </c>
      <c r="C5" s="7">
        <v>42288</v>
      </c>
      <c r="D5">
        <f>YEAR(Table6[[#This Row],[Order Date]])</f>
        <v>2015</v>
      </c>
      <c r="E5" t="str">
        <f>TEXT(Table6[[#This Row],[Order Date]],"mmm")</f>
        <v>Oct</v>
      </c>
      <c r="F5" s="7">
        <v>42295</v>
      </c>
      <c r="G5" t="s">
        <v>46</v>
      </c>
      <c r="H5" t="s">
        <v>57</v>
      </c>
      <c r="I5" t="s">
        <v>58</v>
      </c>
      <c r="J5" s="7">
        <v>37967</v>
      </c>
      <c r="K5">
        <v>21</v>
      </c>
      <c r="L5" t="s">
        <v>31</v>
      </c>
      <c r="M5" t="s">
        <v>32</v>
      </c>
      <c r="N5" t="s">
        <v>33</v>
      </c>
      <c r="O5" t="s">
        <v>59</v>
      </c>
      <c r="P5" t="s">
        <v>60</v>
      </c>
      <c r="Q5">
        <v>33311</v>
      </c>
      <c r="R5" t="s">
        <v>36</v>
      </c>
      <c r="S5" t="s">
        <v>53</v>
      </c>
      <c r="T5" t="s">
        <v>38</v>
      </c>
      <c r="U5" t="s">
        <v>54</v>
      </c>
      <c r="V5" t="s">
        <v>55</v>
      </c>
      <c r="W5">
        <v>957.57749999999999</v>
      </c>
      <c r="X5">
        <v>5</v>
      </c>
      <c r="Y5">
        <v>0.45</v>
      </c>
      <c r="Z5">
        <v>-383.03100000000001</v>
      </c>
      <c r="AA5" t="s">
        <v>61</v>
      </c>
    </row>
    <row r="6" spans="1:27" hidden="1">
      <c r="A6">
        <v>5</v>
      </c>
      <c r="B6" t="s">
        <v>56</v>
      </c>
      <c r="C6" s="7">
        <v>42288</v>
      </c>
      <c r="D6">
        <f>YEAR(Table6[[#This Row],[Order Date]])</f>
        <v>2015</v>
      </c>
      <c r="E6" t="str">
        <f>TEXT(Table6[[#This Row],[Order Date]],"mmm")</f>
        <v>Oct</v>
      </c>
      <c r="F6" s="7">
        <v>42295</v>
      </c>
      <c r="G6" t="s">
        <v>46</v>
      </c>
      <c r="H6" t="s">
        <v>57</v>
      </c>
      <c r="I6" t="s">
        <v>58</v>
      </c>
      <c r="J6" s="7">
        <v>40850</v>
      </c>
      <c r="K6">
        <v>13</v>
      </c>
      <c r="L6" t="s">
        <v>62</v>
      </c>
      <c r="M6" t="s">
        <v>32</v>
      </c>
      <c r="N6" t="s">
        <v>33</v>
      </c>
      <c r="O6" t="s">
        <v>59</v>
      </c>
      <c r="P6" t="s">
        <v>60</v>
      </c>
      <c r="Q6">
        <v>33311</v>
      </c>
      <c r="R6" t="s">
        <v>36</v>
      </c>
      <c r="S6" t="s">
        <v>63</v>
      </c>
      <c r="T6" t="s">
        <v>64</v>
      </c>
      <c r="U6" t="s">
        <v>65</v>
      </c>
      <c r="V6" t="s">
        <v>66</v>
      </c>
      <c r="W6">
        <v>22.367999999999999</v>
      </c>
      <c r="X6">
        <v>2</v>
      </c>
      <c r="Y6">
        <v>0.2</v>
      </c>
      <c r="Z6">
        <v>2.5164</v>
      </c>
      <c r="AA6" t="s">
        <v>61</v>
      </c>
    </row>
    <row r="7" spans="1:27">
      <c r="A7">
        <v>6</v>
      </c>
      <c r="B7" t="s">
        <v>67</v>
      </c>
      <c r="C7" s="7">
        <v>41799</v>
      </c>
      <c r="D7">
        <f>YEAR(Table6[[#This Row],[Order Date]])</f>
        <v>2014</v>
      </c>
      <c r="E7" t="str">
        <f>TEXT(Table6[[#This Row],[Order Date]],"mmm")</f>
        <v>Jun</v>
      </c>
      <c r="F7" s="7">
        <v>41804</v>
      </c>
      <c r="G7" t="s">
        <v>46</v>
      </c>
      <c r="H7" t="s">
        <v>68</v>
      </c>
      <c r="I7" t="s">
        <v>69</v>
      </c>
      <c r="J7" s="7">
        <v>43342</v>
      </c>
      <c r="K7">
        <v>6</v>
      </c>
      <c r="L7" t="s">
        <v>49</v>
      </c>
      <c r="M7" t="s">
        <v>32</v>
      </c>
      <c r="N7" t="s">
        <v>33</v>
      </c>
      <c r="O7" t="s">
        <v>70</v>
      </c>
      <c r="P7" t="s">
        <v>71</v>
      </c>
      <c r="Q7">
        <v>90032</v>
      </c>
      <c r="R7" t="s">
        <v>52</v>
      </c>
      <c r="S7" t="s">
        <v>72</v>
      </c>
      <c r="T7" t="s">
        <v>38</v>
      </c>
      <c r="U7" t="s">
        <v>73</v>
      </c>
      <c r="V7" t="s">
        <v>74</v>
      </c>
      <c r="W7">
        <v>48.86</v>
      </c>
      <c r="X7">
        <v>7</v>
      </c>
      <c r="Y7">
        <v>0</v>
      </c>
      <c r="Z7">
        <v>14.1694</v>
      </c>
      <c r="AA7" t="s">
        <v>41</v>
      </c>
    </row>
    <row r="8" spans="1:27">
      <c r="A8">
        <v>7</v>
      </c>
      <c r="B8" t="s">
        <v>67</v>
      </c>
      <c r="C8" s="7">
        <v>41799</v>
      </c>
      <c r="D8">
        <f>YEAR(Table6[[#This Row],[Order Date]])</f>
        <v>2014</v>
      </c>
      <c r="E8" t="str">
        <f>TEXT(Table6[[#This Row],[Order Date]],"mmm")</f>
        <v>Jun</v>
      </c>
      <c r="F8" s="7">
        <v>41804</v>
      </c>
      <c r="G8" t="s">
        <v>46</v>
      </c>
      <c r="H8" t="s">
        <v>68</v>
      </c>
      <c r="I8" t="s">
        <v>69</v>
      </c>
      <c r="J8" s="7">
        <v>37742</v>
      </c>
      <c r="K8">
        <v>22</v>
      </c>
      <c r="L8" t="s">
        <v>31</v>
      </c>
      <c r="M8" t="s">
        <v>32</v>
      </c>
      <c r="N8" t="s">
        <v>33</v>
      </c>
      <c r="O8" t="s">
        <v>70</v>
      </c>
      <c r="P8" t="s">
        <v>71</v>
      </c>
      <c r="Q8">
        <v>90032</v>
      </c>
      <c r="R8" t="s">
        <v>52</v>
      </c>
      <c r="S8" t="s">
        <v>75</v>
      </c>
      <c r="T8" t="s">
        <v>64</v>
      </c>
      <c r="U8" t="s">
        <v>76</v>
      </c>
      <c r="V8" t="s">
        <v>77</v>
      </c>
      <c r="W8">
        <v>7.28</v>
      </c>
      <c r="X8">
        <v>4</v>
      </c>
      <c r="Y8">
        <v>0</v>
      </c>
      <c r="Z8">
        <v>1.9656</v>
      </c>
      <c r="AA8" t="s">
        <v>41</v>
      </c>
    </row>
    <row r="9" spans="1:27">
      <c r="A9">
        <v>8</v>
      </c>
      <c r="B9" t="s">
        <v>67</v>
      </c>
      <c r="C9" s="7">
        <v>41799</v>
      </c>
      <c r="D9">
        <f>YEAR(Table6[[#This Row],[Order Date]])</f>
        <v>2014</v>
      </c>
      <c r="E9" t="str">
        <f>TEXT(Table6[[#This Row],[Order Date]],"mmm")</f>
        <v>Jun</v>
      </c>
      <c r="F9" s="7">
        <v>41804</v>
      </c>
      <c r="G9" t="s">
        <v>46</v>
      </c>
      <c r="H9" t="s">
        <v>68</v>
      </c>
      <c r="I9" t="s">
        <v>69</v>
      </c>
      <c r="J9" s="7">
        <v>34796</v>
      </c>
      <c r="K9">
        <v>30</v>
      </c>
      <c r="L9" t="s">
        <v>31</v>
      </c>
      <c r="M9" t="s">
        <v>32</v>
      </c>
      <c r="N9" t="s">
        <v>33</v>
      </c>
      <c r="O9" t="s">
        <v>70</v>
      </c>
      <c r="P9" t="s">
        <v>71</v>
      </c>
      <c r="Q9">
        <v>90032</v>
      </c>
      <c r="R9" t="s">
        <v>52</v>
      </c>
      <c r="S9" t="s">
        <v>78</v>
      </c>
      <c r="T9" t="s">
        <v>79</v>
      </c>
      <c r="U9" t="s">
        <v>80</v>
      </c>
      <c r="V9" t="s">
        <v>81</v>
      </c>
      <c r="W9">
        <v>907.15200000000004</v>
      </c>
      <c r="X9">
        <v>6</v>
      </c>
      <c r="Y9">
        <v>0.2</v>
      </c>
      <c r="Z9">
        <v>90.715199999999996</v>
      </c>
      <c r="AA9" t="s">
        <v>61</v>
      </c>
    </row>
    <row r="10" spans="1:27">
      <c r="A10">
        <v>9</v>
      </c>
      <c r="B10" t="s">
        <v>67</v>
      </c>
      <c r="C10" s="7">
        <v>41799</v>
      </c>
      <c r="D10">
        <f>YEAR(Table6[[#This Row],[Order Date]])</f>
        <v>2014</v>
      </c>
      <c r="E10" t="str">
        <f>TEXT(Table6[[#This Row],[Order Date]],"mmm")</f>
        <v>Jun</v>
      </c>
      <c r="F10" s="7">
        <v>41804</v>
      </c>
      <c r="G10" t="s">
        <v>46</v>
      </c>
      <c r="H10" t="s">
        <v>68</v>
      </c>
      <c r="I10" t="s">
        <v>69</v>
      </c>
      <c r="J10" s="7">
        <v>42757</v>
      </c>
      <c r="K10">
        <v>8</v>
      </c>
      <c r="L10" t="s">
        <v>49</v>
      </c>
      <c r="M10" t="s">
        <v>32</v>
      </c>
      <c r="N10" t="s">
        <v>33</v>
      </c>
      <c r="O10" t="s">
        <v>70</v>
      </c>
      <c r="P10" t="s">
        <v>71</v>
      </c>
      <c r="Q10">
        <v>90032</v>
      </c>
      <c r="R10" t="s">
        <v>52</v>
      </c>
      <c r="S10" t="s">
        <v>82</v>
      </c>
      <c r="T10" t="s">
        <v>64</v>
      </c>
      <c r="U10" t="s">
        <v>83</v>
      </c>
      <c r="V10" t="s">
        <v>84</v>
      </c>
      <c r="W10">
        <v>18.504000000000001</v>
      </c>
      <c r="X10">
        <v>3</v>
      </c>
      <c r="Y10">
        <v>0.2</v>
      </c>
      <c r="Z10">
        <v>5.7824999999999998</v>
      </c>
      <c r="AA10" t="s">
        <v>61</v>
      </c>
    </row>
    <row r="11" spans="1:27">
      <c r="A11">
        <v>10</v>
      </c>
      <c r="B11" t="s">
        <v>67</v>
      </c>
      <c r="C11" s="7">
        <v>41799</v>
      </c>
      <c r="D11">
        <f>YEAR(Table6[[#This Row],[Order Date]])</f>
        <v>2014</v>
      </c>
      <c r="E11" t="str">
        <f>TEXT(Table6[[#This Row],[Order Date]],"mmm")</f>
        <v>Jun</v>
      </c>
      <c r="F11" s="7">
        <v>41804</v>
      </c>
      <c r="G11" t="s">
        <v>46</v>
      </c>
      <c r="H11" t="s">
        <v>68</v>
      </c>
      <c r="I11" t="s">
        <v>69</v>
      </c>
      <c r="J11" s="7">
        <v>33448</v>
      </c>
      <c r="K11">
        <v>33</v>
      </c>
      <c r="L11" t="s">
        <v>31</v>
      </c>
      <c r="M11" t="s">
        <v>32</v>
      </c>
      <c r="N11" t="s">
        <v>33</v>
      </c>
      <c r="O11" t="s">
        <v>70</v>
      </c>
      <c r="P11" t="s">
        <v>71</v>
      </c>
      <c r="Q11">
        <v>90032</v>
      </c>
      <c r="R11" t="s">
        <v>52</v>
      </c>
      <c r="S11" t="s">
        <v>85</v>
      </c>
      <c r="T11" t="s">
        <v>64</v>
      </c>
      <c r="U11" t="s">
        <v>86</v>
      </c>
      <c r="V11" t="s">
        <v>87</v>
      </c>
      <c r="W11">
        <v>114.9</v>
      </c>
      <c r="X11">
        <v>5</v>
      </c>
      <c r="Y11">
        <v>0</v>
      </c>
      <c r="Z11">
        <v>34.47</v>
      </c>
      <c r="AA11" t="s">
        <v>41</v>
      </c>
    </row>
    <row r="12" spans="1:27">
      <c r="A12">
        <v>11</v>
      </c>
      <c r="B12" t="s">
        <v>67</v>
      </c>
      <c r="C12" s="7">
        <v>41799</v>
      </c>
      <c r="D12">
        <f>YEAR(Table6[[#This Row],[Order Date]])</f>
        <v>2014</v>
      </c>
      <c r="E12" t="str">
        <f>TEXT(Table6[[#This Row],[Order Date]],"mmm")</f>
        <v>Jun</v>
      </c>
      <c r="F12" s="7">
        <v>41804</v>
      </c>
      <c r="G12" t="s">
        <v>46</v>
      </c>
      <c r="H12" t="s">
        <v>68</v>
      </c>
      <c r="I12" t="s">
        <v>69</v>
      </c>
      <c r="J12" s="7">
        <v>41570</v>
      </c>
      <c r="K12">
        <v>11</v>
      </c>
      <c r="L12" t="s">
        <v>62</v>
      </c>
      <c r="M12" t="s">
        <v>32</v>
      </c>
      <c r="N12" t="s">
        <v>33</v>
      </c>
      <c r="O12" t="s">
        <v>70</v>
      </c>
      <c r="P12" t="s">
        <v>71</v>
      </c>
      <c r="Q12">
        <v>90032</v>
      </c>
      <c r="R12" t="s">
        <v>52</v>
      </c>
      <c r="S12" t="s">
        <v>88</v>
      </c>
      <c r="T12" t="s">
        <v>38</v>
      </c>
      <c r="U12" t="s">
        <v>54</v>
      </c>
      <c r="V12" t="s">
        <v>89</v>
      </c>
      <c r="W12">
        <v>1706.184</v>
      </c>
      <c r="X12">
        <v>9</v>
      </c>
      <c r="Y12">
        <v>0.2</v>
      </c>
      <c r="Z12">
        <v>85.309199999999805</v>
      </c>
      <c r="AA12" t="s">
        <v>61</v>
      </c>
    </row>
    <row r="13" spans="1:27">
      <c r="A13">
        <v>12</v>
      </c>
      <c r="B13" t="s">
        <v>67</v>
      </c>
      <c r="C13" s="7">
        <v>41799</v>
      </c>
      <c r="D13">
        <f>YEAR(Table6[[#This Row],[Order Date]])</f>
        <v>2014</v>
      </c>
      <c r="E13" t="str">
        <f>TEXT(Table6[[#This Row],[Order Date]],"mmm")</f>
        <v>Jun</v>
      </c>
      <c r="F13" s="7">
        <v>41804</v>
      </c>
      <c r="G13" t="s">
        <v>46</v>
      </c>
      <c r="H13" t="s">
        <v>68</v>
      </c>
      <c r="I13" t="s">
        <v>69</v>
      </c>
      <c r="J13" s="7">
        <v>42630</v>
      </c>
      <c r="K13">
        <v>8</v>
      </c>
      <c r="L13" t="s">
        <v>49</v>
      </c>
      <c r="M13" t="s">
        <v>32</v>
      </c>
      <c r="N13" t="s">
        <v>33</v>
      </c>
      <c r="O13" t="s">
        <v>70</v>
      </c>
      <c r="P13" t="s">
        <v>71</v>
      </c>
      <c r="Q13">
        <v>90032</v>
      </c>
      <c r="R13" t="s">
        <v>52</v>
      </c>
      <c r="S13" t="s">
        <v>90</v>
      </c>
      <c r="T13" t="s">
        <v>79</v>
      </c>
      <c r="U13" t="s">
        <v>80</v>
      </c>
      <c r="V13" t="s">
        <v>91</v>
      </c>
      <c r="W13">
        <v>911.42399999999998</v>
      </c>
      <c r="X13">
        <v>4</v>
      </c>
      <c r="Y13">
        <v>0.2</v>
      </c>
      <c r="Z13">
        <v>68.356800000000007</v>
      </c>
      <c r="AA13" t="s">
        <v>61</v>
      </c>
    </row>
    <row r="14" spans="1:27" hidden="1">
      <c r="A14">
        <v>13</v>
      </c>
      <c r="B14" t="s">
        <v>92</v>
      </c>
      <c r="C14" s="7">
        <v>42840</v>
      </c>
      <c r="D14">
        <f>YEAR(Table6[[#This Row],[Order Date]])</f>
        <v>2017</v>
      </c>
      <c r="E14" t="str">
        <f>TEXT(Table6[[#This Row],[Order Date]],"mmm")</f>
        <v>Apr</v>
      </c>
      <c r="F14" s="7">
        <v>42845</v>
      </c>
      <c r="G14" t="s">
        <v>46</v>
      </c>
      <c r="H14" t="s">
        <v>93</v>
      </c>
      <c r="I14" t="s">
        <v>94</v>
      </c>
      <c r="J14" s="7">
        <v>40425</v>
      </c>
      <c r="K14">
        <v>14</v>
      </c>
      <c r="L14" t="s">
        <v>62</v>
      </c>
      <c r="M14" t="s">
        <v>32</v>
      </c>
      <c r="N14" t="s">
        <v>33</v>
      </c>
      <c r="O14" t="s">
        <v>95</v>
      </c>
      <c r="P14" t="s">
        <v>96</v>
      </c>
      <c r="Q14">
        <v>28027</v>
      </c>
      <c r="R14" t="s">
        <v>36</v>
      </c>
      <c r="S14" t="s">
        <v>97</v>
      </c>
      <c r="T14" t="s">
        <v>64</v>
      </c>
      <c r="U14" t="s">
        <v>98</v>
      </c>
      <c r="V14" t="s">
        <v>99</v>
      </c>
      <c r="W14">
        <v>15.552</v>
      </c>
      <c r="X14">
        <v>3</v>
      </c>
      <c r="Y14">
        <v>0.2</v>
      </c>
      <c r="Z14">
        <v>5.4432</v>
      </c>
      <c r="AA14" t="s">
        <v>61</v>
      </c>
    </row>
    <row r="15" spans="1:27" hidden="1">
      <c r="A15">
        <v>14</v>
      </c>
      <c r="B15" t="s">
        <v>100</v>
      </c>
      <c r="C15" s="7">
        <v>42709</v>
      </c>
      <c r="D15">
        <f>YEAR(Table6[[#This Row],[Order Date]])</f>
        <v>2016</v>
      </c>
      <c r="E15" t="str">
        <f>TEXT(Table6[[#This Row],[Order Date]],"mmm")</f>
        <v>Dec</v>
      </c>
      <c r="F15" s="7">
        <v>42714</v>
      </c>
      <c r="G15" t="s">
        <v>46</v>
      </c>
      <c r="H15" t="s">
        <v>101</v>
      </c>
      <c r="I15" t="s">
        <v>102</v>
      </c>
      <c r="J15" s="7">
        <v>39320</v>
      </c>
      <c r="K15">
        <v>17</v>
      </c>
      <c r="L15" t="s">
        <v>62</v>
      </c>
      <c r="M15" t="s">
        <v>32</v>
      </c>
      <c r="N15" t="s">
        <v>33</v>
      </c>
      <c r="O15" t="s">
        <v>103</v>
      </c>
      <c r="P15" t="s">
        <v>104</v>
      </c>
      <c r="Q15">
        <v>98103</v>
      </c>
      <c r="R15" t="s">
        <v>52</v>
      </c>
      <c r="S15" t="s">
        <v>105</v>
      </c>
      <c r="T15" t="s">
        <v>64</v>
      </c>
      <c r="U15" t="s">
        <v>83</v>
      </c>
      <c r="V15" t="s">
        <v>106</v>
      </c>
      <c r="W15">
        <v>407.976</v>
      </c>
      <c r="X15">
        <v>3</v>
      </c>
      <c r="Y15">
        <v>0.2</v>
      </c>
      <c r="Z15">
        <v>132.59219999999999</v>
      </c>
      <c r="AA15" t="s">
        <v>61</v>
      </c>
    </row>
    <row r="16" spans="1:27" hidden="1">
      <c r="A16">
        <v>15</v>
      </c>
      <c r="B16" t="s">
        <v>107</v>
      </c>
      <c r="C16" s="7">
        <v>42932</v>
      </c>
      <c r="D16">
        <f>YEAR(Table6[[#This Row],[Order Date]])</f>
        <v>2017</v>
      </c>
      <c r="E16" t="str">
        <f>TEXT(Table6[[#This Row],[Order Date]],"mmm")</f>
        <v>Jul</v>
      </c>
      <c r="F16" s="7">
        <v>42934</v>
      </c>
      <c r="G16" t="s">
        <v>28</v>
      </c>
      <c r="H16" t="s">
        <v>108</v>
      </c>
      <c r="I16" t="s">
        <v>109</v>
      </c>
      <c r="J16" s="7">
        <v>37459</v>
      </c>
      <c r="K16">
        <v>22</v>
      </c>
      <c r="L16" t="s">
        <v>31</v>
      </c>
      <c r="M16" t="s">
        <v>32</v>
      </c>
      <c r="N16" t="s">
        <v>33</v>
      </c>
      <c r="O16" t="s">
        <v>110</v>
      </c>
      <c r="P16" t="s">
        <v>111</v>
      </c>
      <c r="Q16">
        <v>19140</v>
      </c>
      <c r="R16" t="s">
        <v>112</v>
      </c>
      <c r="S16" t="s">
        <v>113</v>
      </c>
      <c r="T16" t="s">
        <v>38</v>
      </c>
      <c r="U16" t="s">
        <v>43</v>
      </c>
      <c r="V16" t="s">
        <v>114</v>
      </c>
      <c r="W16">
        <v>71.372</v>
      </c>
      <c r="X16">
        <v>2</v>
      </c>
      <c r="Y16">
        <v>0.3</v>
      </c>
      <c r="Z16">
        <v>-1.0196000000000001</v>
      </c>
      <c r="AA16" t="s">
        <v>61</v>
      </c>
    </row>
    <row r="17" spans="1:27">
      <c r="A17">
        <v>16</v>
      </c>
      <c r="B17" t="s">
        <v>115</v>
      </c>
      <c r="C17" s="7">
        <v>41878</v>
      </c>
      <c r="D17">
        <f>YEAR(Table6[[#This Row],[Order Date]])</f>
        <v>2014</v>
      </c>
      <c r="E17" t="str">
        <f>TEXT(Table6[[#This Row],[Order Date]],"mmm")</f>
        <v>Aug</v>
      </c>
      <c r="F17" s="7">
        <v>41883</v>
      </c>
      <c r="G17" t="s">
        <v>28</v>
      </c>
      <c r="H17" t="s">
        <v>116</v>
      </c>
      <c r="I17" t="s">
        <v>117</v>
      </c>
      <c r="J17" s="7">
        <v>36021</v>
      </c>
      <c r="K17">
        <v>26</v>
      </c>
      <c r="L17" t="s">
        <v>31</v>
      </c>
      <c r="M17" t="s">
        <v>32</v>
      </c>
      <c r="N17" t="s">
        <v>33</v>
      </c>
      <c r="O17" t="s">
        <v>118</v>
      </c>
      <c r="P17" t="s">
        <v>71</v>
      </c>
      <c r="Q17">
        <v>94109</v>
      </c>
      <c r="R17" t="s">
        <v>52</v>
      </c>
      <c r="S17" t="s">
        <v>119</v>
      </c>
      <c r="T17" t="s">
        <v>64</v>
      </c>
      <c r="U17" t="s">
        <v>83</v>
      </c>
      <c r="V17" t="s">
        <v>120</v>
      </c>
      <c r="W17">
        <v>22.72</v>
      </c>
      <c r="X17">
        <v>4</v>
      </c>
      <c r="Y17">
        <v>0.2</v>
      </c>
      <c r="Z17">
        <v>7.3840000000000003</v>
      </c>
      <c r="AA17" t="s">
        <v>61</v>
      </c>
    </row>
    <row r="18" spans="1:27">
      <c r="A18">
        <v>17</v>
      </c>
      <c r="B18" t="s">
        <v>121</v>
      </c>
      <c r="C18" s="7">
        <v>41954</v>
      </c>
      <c r="D18">
        <f>YEAR(Table6[[#This Row],[Order Date]])</f>
        <v>2014</v>
      </c>
      <c r="E18" t="str">
        <f>TEXT(Table6[[#This Row],[Order Date]],"mmm")</f>
        <v>Nov</v>
      </c>
      <c r="F18" s="7">
        <v>41961</v>
      </c>
      <c r="G18" t="s">
        <v>46</v>
      </c>
      <c r="H18" t="s">
        <v>122</v>
      </c>
      <c r="I18" t="s">
        <v>123</v>
      </c>
      <c r="J18" s="7">
        <v>35844</v>
      </c>
      <c r="K18">
        <v>27</v>
      </c>
      <c r="L18" t="s">
        <v>31</v>
      </c>
      <c r="M18" t="s">
        <v>32</v>
      </c>
      <c r="N18" t="s">
        <v>33</v>
      </c>
      <c r="O18" t="s">
        <v>124</v>
      </c>
      <c r="P18" t="s">
        <v>125</v>
      </c>
      <c r="Q18">
        <v>53711</v>
      </c>
      <c r="R18" t="s">
        <v>126</v>
      </c>
      <c r="S18" t="s">
        <v>127</v>
      </c>
      <c r="T18" t="s">
        <v>64</v>
      </c>
      <c r="U18" t="s">
        <v>65</v>
      </c>
      <c r="V18" t="s">
        <v>128</v>
      </c>
      <c r="W18">
        <v>665.88</v>
      </c>
      <c r="X18">
        <v>6</v>
      </c>
      <c r="Y18">
        <v>0.7</v>
      </c>
      <c r="Z18">
        <v>13.317600000000001</v>
      </c>
      <c r="AA18" t="s">
        <v>129</v>
      </c>
    </row>
    <row r="19" spans="1:27">
      <c r="A19">
        <v>18</v>
      </c>
      <c r="B19" t="s">
        <v>130</v>
      </c>
      <c r="C19" s="7">
        <v>41772</v>
      </c>
      <c r="D19">
        <f>YEAR(Table6[[#This Row],[Order Date]])</f>
        <v>2014</v>
      </c>
      <c r="E19" t="str">
        <f>TEXT(Table6[[#This Row],[Order Date]],"mmm")</f>
        <v>May</v>
      </c>
      <c r="F19" s="7">
        <v>41774</v>
      </c>
      <c r="G19" t="s">
        <v>28</v>
      </c>
      <c r="H19" t="s">
        <v>131</v>
      </c>
      <c r="I19" t="s">
        <v>132</v>
      </c>
      <c r="J19" s="7">
        <v>36140</v>
      </c>
      <c r="K19">
        <v>26</v>
      </c>
      <c r="L19" t="s">
        <v>31</v>
      </c>
      <c r="M19" t="s">
        <v>32</v>
      </c>
      <c r="N19" t="s">
        <v>33</v>
      </c>
      <c r="O19" t="s">
        <v>133</v>
      </c>
      <c r="P19" t="s">
        <v>51</v>
      </c>
      <c r="Q19">
        <v>84084</v>
      </c>
      <c r="R19" t="s">
        <v>52</v>
      </c>
      <c r="S19" t="s">
        <v>134</v>
      </c>
      <c r="T19" t="s">
        <v>64</v>
      </c>
      <c r="U19" t="s">
        <v>65</v>
      </c>
      <c r="V19" t="s">
        <v>135</v>
      </c>
      <c r="W19">
        <v>55.5</v>
      </c>
      <c r="X19">
        <v>2</v>
      </c>
      <c r="Y19">
        <v>0</v>
      </c>
      <c r="Z19">
        <v>9.9899999999999896</v>
      </c>
      <c r="AA19" t="s">
        <v>41</v>
      </c>
    </row>
    <row r="20" spans="1:27">
      <c r="A20">
        <v>19</v>
      </c>
      <c r="B20" t="s">
        <v>115</v>
      </c>
      <c r="C20" s="7">
        <v>41878</v>
      </c>
      <c r="D20">
        <f>YEAR(Table6[[#This Row],[Order Date]])</f>
        <v>2014</v>
      </c>
      <c r="E20" t="str">
        <f>TEXT(Table6[[#This Row],[Order Date]],"mmm")</f>
        <v>Aug</v>
      </c>
      <c r="F20" s="7">
        <v>41883</v>
      </c>
      <c r="G20" t="s">
        <v>28</v>
      </c>
      <c r="H20" t="s">
        <v>116</v>
      </c>
      <c r="I20" t="s">
        <v>117</v>
      </c>
      <c r="J20" s="7">
        <v>37156</v>
      </c>
      <c r="K20">
        <v>23</v>
      </c>
      <c r="L20" t="s">
        <v>31</v>
      </c>
      <c r="M20" t="s">
        <v>32</v>
      </c>
      <c r="N20" t="s">
        <v>33</v>
      </c>
      <c r="O20" t="s">
        <v>118</v>
      </c>
      <c r="P20" t="s">
        <v>71</v>
      </c>
      <c r="Q20">
        <v>94109</v>
      </c>
      <c r="R20" t="s">
        <v>52</v>
      </c>
      <c r="S20" t="s">
        <v>136</v>
      </c>
      <c r="T20" t="s">
        <v>64</v>
      </c>
      <c r="U20" t="s">
        <v>76</v>
      </c>
      <c r="V20" t="s">
        <v>137</v>
      </c>
      <c r="W20">
        <v>8.56</v>
      </c>
      <c r="X20">
        <v>2</v>
      </c>
      <c r="Y20">
        <v>0</v>
      </c>
      <c r="Z20">
        <v>2.4824000000000002</v>
      </c>
      <c r="AA20" t="s">
        <v>41</v>
      </c>
    </row>
    <row r="21" spans="1:27">
      <c r="A21">
        <v>20</v>
      </c>
      <c r="B21" t="s">
        <v>115</v>
      </c>
      <c r="C21" s="7">
        <v>41878</v>
      </c>
      <c r="D21">
        <f>YEAR(Table6[[#This Row],[Order Date]])</f>
        <v>2014</v>
      </c>
      <c r="E21" t="str">
        <f>TEXT(Table6[[#This Row],[Order Date]],"mmm")</f>
        <v>Aug</v>
      </c>
      <c r="F21" s="7">
        <v>41883</v>
      </c>
      <c r="G21" t="s">
        <v>28</v>
      </c>
      <c r="H21" t="s">
        <v>116</v>
      </c>
      <c r="I21" t="s">
        <v>117</v>
      </c>
      <c r="J21" s="7">
        <v>33295</v>
      </c>
      <c r="K21">
        <v>34</v>
      </c>
      <c r="L21" t="s">
        <v>31</v>
      </c>
      <c r="M21" t="s">
        <v>32</v>
      </c>
      <c r="N21" t="s">
        <v>33</v>
      </c>
      <c r="O21" t="s">
        <v>118</v>
      </c>
      <c r="P21" t="s">
        <v>71</v>
      </c>
      <c r="Q21">
        <v>94109</v>
      </c>
      <c r="R21" t="s">
        <v>52</v>
      </c>
      <c r="S21" t="s">
        <v>138</v>
      </c>
      <c r="T21" t="s">
        <v>79</v>
      </c>
      <c r="U21" t="s">
        <v>80</v>
      </c>
      <c r="V21" t="s">
        <v>139</v>
      </c>
      <c r="W21">
        <v>213.48</v>
      </c>
      <c r="X21">
        <v>3</v>
      </c>
      <c r="Y21">
        <v>0.56000000000000005</v>
      </c>
      <c r="Z21">
        <v>16.010999999999999</v>
      </c>
      <c r="AA21" t="s">
        <v>129</v>
      </c>
    </row>
    <row r="23" spans="1:27">
      <c r="E23" s="8"/>
      <c r="X23" t="s">
        <v>140</v>
      </c>
    </row>
    <row r="24" spans="1:27">
      <c r="J24" t="s">
        <v>141</v>
      </c>
      <c r="X24" t="s">
        <v>142</v>
      </c>
    </row>
    <row r="25" spans="1:27">
      <c r="J25" t="s">
        <v>143</v>
      </c>
      <c r="X25" t="s">
        <v>144</v>
      </c>
    </row>
    <row r="26" spans="1:27">
      <c r="J26" t="s">
        <v>145</v>
      </c>
    </row>
    <row r="30" spans="1:27">
      <c r="E30" s="8"/>
    </row>
    <row r="42" spans="5:5">
      <c r="E42" s="9"/>
    </row>
    <row r="54" spans="3:4">
      <c r="C54" s="8"/>
      <c r="D54" s="8"/>
    </row>
    <row r="68" spans="5:5">
      <c r="E68" s="8"/>
    </row>
  </sheetData>
  <conditionalFormatting sqref="A1:Z21">
    <cfRule type="containsBlanks" dxfId="1" priority="1">
      <formula>LEN(TRIM(A1))=0</formula>
    </cfRule>
    <cfRule type="containsBlanks" priority="2">
      <formula>LEN(TRIM(A1))=0</formula>
    </cfRule>
  </conditionalFormatting>
  <conditionalFormatting sqref="H55:L64">
    <cfRule type="top10" dxfId="0" priority="4" rank="5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2"/>
  <sheetViews>
    <sheetView topLeftCell="A93" zoomScale="85" zoomScaleNormal="85" workbookViewId="0">
      <selection activeCell="G15" sqref="G15"/>
    </sheetView>
  </sheetViews>
  <sheetFormatPr defaultColWidth="9" defaultRowHeight="14.4"/>
  <cols>
    <col min="1" max="1" width="13.44140625" customWidth="1"/>
    <col min="2" max="2" width="12.109375" customWidth="1"/>
    <col min="8" max="8" width="13.88671875" bestFit="1" customWidth="1"/>
    <col min="9" max="9" width="12.109375" bestFit="1" customWidth="1"/>
    <col min="10" max="10" width="17.109375" bestFit="1" customWidth="1"/>
    <col min="11" max="11" width="16.88671875" bestFit="1" customWidth="1"/>
    <col min="12" max="12" width="12.77734375" customWidth="1"/>
  </cols>
  <sheetData>
    <row r="1" spans="1:10">
      <c r="A1" s="3" t="s">
        <v>146</v>
      </c>
      <c r="H1" s="10" t="s">
        <v>147</v>
      </c>
      <c r="I1" t="s">
        <v>148</v>
      </c>
      <c r="J1" t="s">
        <v>149</v>
      </c>
    </row>
    <row r="2" spans="1:10">
      <c r="A2" s="4"/>
      <c r="H2" s="1" t="s">
        <v>38</v>
      </c>
      <c r="I2">
        <v>4822.5235000000002</v>
      </c>
      <c r="J2">
        <v>217.18849999999978</v>
      </c>
    </row>
    <row r="3" spans="1:10">
      <c r="A3" s="4"/>
      <c r="H3" s="1" t="s">
        <v>64</v>
      </c>
      <c r="I3">
        <v>1339.24</v>
      </c>
      <c r="J3">
        <v>215.94389999999999</v>
      </c>
    </row>
    <row r="4" spans="1:10">
      <c r="A4" s="5" t="s">
        <v>150</v>
      </c>
      <c r="H4" s="1" t="s">
        <v>79</v>
      </c>
      <c r="I4">
        <v>2032.056</v>
      </c>
      <c r="J4">
        <v>175.083</v>
      </c>
    </row>
    <row r="5" spans="1:10">
      <c r="A5" s="4"/>
      <c r="H5" s="1" t="s">
        <v>151</v>
      </c>
      <c r="I5">
        <v>8193.8194999999996</v>
      </c>
      <c r="J5">
        <v>608.2153999999997</v>
      </c>
    </row>
    <row r="6" spans="1:10">
      <c r="A6" s="3" t="s">
        <v>152</v>
      </c>
    </row>
    <row r="7" spans="1:10">
      <c r="A7" s="4"/>
      <c r="H7" s="10" t="s">
        <v>147</v>
      </c>
      <c r="I7" t="s">
        <v>148</v>
      </c>
    </row>
    <row r="8" spans="1:10">
      <c r="A8" s="4"/>
      <c r="H8" s="1" t="s">
        <v>52</v>
      </c>
      <c r="I8">
        <v>5467.17</v>
      </c>
    </row>
    <row r="9" spans="1:10">
      <c r="A9" s="5" t="s">
        <v>153</v>
      </c>
      <c r="H9" s="1" t="s">
        <v>36</v>
      </c>
      <c r="I9">
        <v>1989.3974999999998</v>
      </c>
    </row>
    <row r="10" spans="1:10">
      <c r="A10" s="4"/>
      <c r="H10" s="1" t="s">
        <v>126</v>
      </c>
      <c r="I10">
        <v>665.88</v>
      </c>
    </row>
    <row r="11" spans="1:10">
      <c r="A11" s="3" t="s">
        <v>154</v>
      </c>
      <c r="H11" s="1" t="s">
        <v>112</v>
      </c>
      <c r="I11">
        <v>71.371999999999986</v>
      </c>
    </row>
    <row r="12" spans="1:10">
      <c r="A12" s="4"/>
      <c r="H12" s="1" t="s">
        <v>151</v>
      </c>
      <c r="I12">
        <v>8193.8194999999996</v>
      </c>
    </row>
    <row r="13" spans="1:10">
      <c r="A13" s="4"/>
    </row>
    <row r="14" spans="1:10">
      <c r="A14" s="5" t="s">
        <v>155</v>
      </c>
      <c r="H14" s="10" t="s">
        <v>147</v>
      </c>
      <c r="I14" t="s">
        <v>148</v>
      </c>
    </row>
    <row r="15" spans="1:10">
      <c r="A15" s="4"/>
      <c r="H15" s="1" t="s">
        <v>59</v>
      </c>
      <c r="I15">
        <v>979.94550000000004</v>
      </c>
    </row>
    <row r="16" spans="1:10">
      <c r="A16" s="3" t="s">
        <v>156</v>
      </c>
      <c r="H16" s="1" t="s">
        <v>34</v>
      </c>
      <c r="I16">
        <v>993.89999999999986</v>
      </c>
    </row>
    <row r="17" spans="1:12">
      <c r="A17" s="4"/>
      <c r="H17" s="1" t="s">
        <v>70</v>
      </c>
      <c r="I17">
        <v>3714.3040000000001</v>
      </c>
    </row>
    <row r="18" spans="1:12">
      <c r="A18" s="4"/>
      <c r="H18" s="1" t="s">
        <v>124</v>
      </c>
      <c r="I18">
        <v>665.88</v>
      </c>
    </row>
    <row r="19" spans="1:12">
      <c r="A19" s="5" t="s">
        <v>157</v>
      </c>
      <c r="H19" s="1" t="s">
        <v>50</v>
      </c>
      <c r="I19">
        <v>1044.6299999999999</v>
      </c>
    </row>
    <row r="20" spans="1:12">
      <c r="H20" s="1" t="s">
        <v>151</v>
      </c>
      <c r="I20">
        <v>7398.6594999999998</v>
      </c>
    </row>
    <row r="22" spans="1:12">
      <c r="H22" s="10" t="s">
        <v>147</v>
      </c>
      <c r="I22" t="s">
        <v>158</v>
      </c>
    </row>
    <row r="23" spans="1:12" ht="18">
      <c r="A23" s="6" t="s">
        <v>159</v>
      </c>
      <c r="H23" s="1" t="s">
        <v>28</v>
      </c>
      <c r="I23">
        <v>7</v>
      </c>
    </row>
    <row r="24" spans="1:12">
      <c r="A24" s="4"/>
      <c r="H24" s="1" t="s">
        <v>46</v>
      </c>
      <c r="I24">
        <v>13</v>
      </c>
    </row>
    <row r="25" spans="1:12">
      <c r="A25" s="3" t="s">
        <v>160</v>
      </c>
      <c r="H25" s="1" t="s">
        <v>151</v>
      </c>
      <c r="I25">
        <v>20</v>
      </c>
    </row>
    <row r="26" spans="1:12">
      <c r="A26" s="4"/>
    </row>
    <row r="27" spans="1:12">
      <c r="A27" s="4"/>
      <c r="J27" s="10" t="s">
        <v>147</v>
      </c>
      <c r="K27" t="s">
        <v>148</v>
      </c>
      <c r="L27" t="s">
        <v>149</v>
      </c>
    </row>
    <row r="28" spans="1:12">
      <c r="A28" s="5" t="s">
        <v>161</v>
      </c>
      <c r="J28" s="1" t="s">
        <v>32</v>
      </c>
      <c r="K28">
        <v>8193.8194999999996</v>
      </c>
      <c r="L28">
        <v>608.2153999999997</v>
      </c>
    </row>
    <row r="29" spans="1:12">
      <c r="A29" s="4"/>
      <c r="J29" s="1" t="s">
        <v>151</v>
      </c>
      <c r="K29">
        <v>8193.8194999999996</v>
      </c>
      <c r="L29">
        <v>608.2153999999997</v>
      </c>
    </row>
    <row r="30" spans="1:12">
      <c r="A30" s="3" t="s">
        <v>162</v>
      </c>
    </row>
    <row r="31" spans="1:12">
      <c r="A31" s="4"/>
      <c r="J31" s="10" t="s">
        <v>147</v>
      </c>
      <c r="K31" t="s">
        <v>149</v>
      </c>
    </row>
    <row r="32" spans="1:12">
      <c r="A32" s="4"/>
      <c r="J32" s="1" t="s">
        <v>54</v>
      </c>
      <c r="K32">
        <v>-57.456900000000189</v>
      </c>
    </row>
    <row r="33" spans="1:11">
      <c r="A33" s="5" t="s">
        <v>163</v>
      </c>
      <c r="J33" s="1" t="s">
        <v>76</v>
      </c>
      <c r="K33">
        <v>4.4480000000000004</v>
      </c>
    </row>
    <row r="34" spans="1:11">
      <c r="A34" s="4"/>
      <c r="J34" s="1" t="s">
        <v>98</v>
      </c>
      <c r="K34">
        <v>5.4432</v>
      </c>
    </row>
    <row r="35" spans="1:11">
      <c r="A35" s="3" t="s">
        <v>164</v>
      </c>
      <c r="J35" s="1" t="s">
        <v>73</v>
      </c>
      <c r="K35">
        <v>14.1694</v>
      </c>
    </row>
    <row r="36" spans="1:11">
      <c r="A36" s="4"/>
      <c r="J36" s="1" t="s">
        <v>65</v>
      </c>
      <c r="K36">
        <v>25.823999999999998</v>
      </c>
    </row>
    <row r="37" spans="1:11">
      <c r="A37" s="4"/>
      <c r="J37" s="1" t="s">
        <v>86</v>
      </c>
      <c r="K37">
        <v>34.47</v>
      </c>
    </row>
    <row r="38" spans="1:11">
      <c r="A38" s="5" t="s">
        <v>165</v>
      </c>
      <c r="J38" s="1" t="s">
        <v>39</v>
      </c>
      <c r="K38">
        <v>41.913600000000002</v>
      </c>
    </row>
    <row r="39" spans="1:11">
      <c r="J39" s="1" t="s">
        <v>83</v>
      </c>
      <c r="K39">
        <v>145.75869999999998</v>
      </c>
    </row>
    <row r="40" spans="1:11">
      <c r="J40" s="1" t="s">
        <v>80</v>
      </c>
      <c r="K40">
        <v>175.083</v>
      </c>
    </row>
    <row r="41" spans="1:11">
      <c r="J41" s="1" t="s">
        <v>43</v>
      </c>
      <c r="K41">
        <v>218.5624</v>
      </c>
    </row>
    <row r="42" spans="1:11" ht="18">
      <c r="A42" s="6" t="s">
        <v>166</v>
      </c>
      <c r="J42" s="1" t="s">
        <v>151</v>
      </c>
      <c r="K42">
        <v>608.21539999999982</v>
      </c>
    </row>
    <row r="43" spans="1:11">
      <c r="A43" s="4"/>
    </row>
    <row r="44" spans="1:11">
      <c r="A44" s="3" t="s">
        <v>167</v>
      </c>
      <c r="J44" s="10" t="s">
        <v>147</v>
      </c>
      <c r="K44" t="s">
        <v>168</v>
      </c>
    </row>
    <row r="45" spans="1:11">
      <c r="A45" s="4"/>
      <c r="J45" s="1" t="s">
        <v>61</v>
      </c>
      <c r="K45">
        <v>1.40488999999998</v>
      </c>
    </row>
    <row r="46" spans="1:11">
      <c r="A46" s="4"/>
      <c r="J46" s="1" t="s">
        <v>129</v>
      </c>
      <c r="K46">
        <v>14.664300000000001</v>
      </c>
    </row>
    <row r="47" spans="1:11">
      <c r="A47" s="5" t="s">
        <v>169</v>
      </c>
      <c r="J47" s="1" t="s">
        <v>41</v>
      </c>
      <c r="K47">
        <v>70.604737499999999</v>
      </c>
    </row>
    <row r="48" spans="1:11">
      <c r="A48" s="4"/>
      <c r="J48" s="1" t="s">
        <v>151</v>
      </c>
      <c r="K48">
        <v>30.410769999999992</v>
      </c>
    </row>
    <row r="49" spans="1:11">
      <c r="A49" s="3" t="s">
        <v>170</v>
      </c>
    </row>
    <row r="50" spans="1:11">
      <c r="A50" s="4"/>
      <c r="J50" s="10" t="s">
        <v>147</v>
      </c>
      <c r="K50" t="s">
        <v>148</v>
      </c>
    </row>
    <row r="51" spans="1:11">
      <c r="A51" s="4"/>
      <c r="J51" s="1">
        <v>2014</v>
      </c>
      <c r="K51">
        <v>4680.4440000000004</v>
      </c>
    </row>
    <row r="52" spans="1:11">
      <c r="A52" s="5" t="s">
        <v>171</v>
      </c>
      <c r="G52" t="s">
        <v>172</v>
      </c>
      <c r="J52" s="2">
        <v>5</v>
      </c>
      <c r="K52">
        <v>55.5</v>
      </c>
    </row>
    <row r="53" spans="1:11">
      <c r="A53" s="4"/>
      <c r="J53" s="2">
        <v>6</v>
      </c>
      <c r="K53">
        <v>3714.3040000000001</v>
      </c>
    </row>
    <row r="54" spans="1:11">
      <c r="A54" s="3" t="s">
        <v>173</v>
      </c>
      <c r="J54" s="2">
        <v>8</v>
      </c>
      <c r="K54">
        <v>244.76000000000002</v>
      </c>
    </row>
    <row r="55" spans="1:11">
      <c r="A55" s="4"/>
      <c r="J55" s="2">
        <v>11</v>
      </c>
      <c r="K55">
        <v>665.88</v>
      </c>
    </row>
    <row r="56" spans="1:11">
      <c r="A56" s="4" t="s">
        <v>174</v>
      </c>
      <c r="J56" s="1">
        <v>2015</v>
      </c>
      <c r="K56">
        <v>2024.5754999999999</v>
      </c>
    </row>
    <row r="57" spans="1:11">
      <c r="J57" s="2">
        <v>9</v>
      </c>
      <c r="K57">
        <v>1044.6299999999999</v>
      </c>
    </row>
    <row r="58" spans="1:11">
      <c r="J58" s="2">
        <v>10</v>
      </c>
      <c r="K58">
        <v>979.94550000000004</v>
      </c>
    </row>
    <row r="59" spans="1:11">
      <c r="J59" s="1">
        <v>2016</v>
      </c>
      <c r="K59">
        <v>1401.876</v>
      </c>
    </row>
    <row r="60" spans="1:11">
      <c r="A60" t="s">
        <v>175</v>
      </c>
      <c r="B60">
        <f>SUM(Table6[Sales])</f>
        <v>8193.8195000000014</v>
      </c>
      <c r="C60">
        <v>8193.8194999999996</v>
      </c>
      <c r="J60" s="2">
        <v>11</v>
      </c>
      <c r="K60">
        <v>993.89999999999986</v>
      </c>
    </row>
    <row r="61" spans="1:11">
      <c r="A61" t="s">
        <v>176</v>
      </c>
      <c r="B61">
        <f>SUM(Table6[Profit])</f>
        <v>608.2153999999997</v>
      </c>
      <c r="C61">
        <v>608.21540000000005</v>
      </c>
      <c r="J61" s="2">
        <v>12</v>
      </c>
      <c r="K61">
        <v>407.97600000000006</v>
      </c>
    </row>
    <row r="62" spans="1:11">
      <c r="A62" t="s">
        <v>177</v>
      </c>
      <c r="B62">
        <f>COUNTA(Table6[Order ID])</f>
        <v>20</v>
      </c>
      <c r="C62">
        <v>20</v>
      </c>
      <c r="J62" s="1">
        <v>2017</v>
      </c>
      <c r="K62">
        <v>86.923999999999992</v>
      </c>
    </row>
    <row r="63" spans="1:11">
      <c r="A63" t="s">
        <v>178</v>
      </c>
      <c r="B63">
        <f>SUM(Table6[Quantity])</f>
        <v>78</v>
      </c>
      <c r="C63">
        <v>78</v>
      </c>
      <c r="J63" s="2">
        <v>4</v>
      </c>
      <c r="K63">
        <v>15.552000000000003</v>
      </c>
    </row>
    <row r="64" spans="1:11">
      <c r="J64" s="2">
        <v>7</v>
      </c>
      <c r="K64">
        <v>71.371999999999986</v>
      </c>
    </row>
    <row r="65" spans="1:14">
      <c r="J65" s="1" t="s">
        <v>151</v>
      </c>
      <c r="K65">
        <v>8193.8194999999996</v>
      </c>
    </row>
    <row r="66" spans="1:14">
      <c r="A66" t="s">
        <v>179</v>
      </c>
    </row>
    <row r="67" spans="1:14">
      <c r="A67" s="10" t="s">
        <v>147</v>
      </c>
      <c r="B67" t="s">
        <v>148</v>
      </c>
    </row>
    <row r="68" spans="1:14">
      <c r="A68" s="1">
        <v>2014</v>
      </c>
      <c r="B68">
        <v>4680.4439999999995</v>
      </c>
      <c r="J68" s="10" t="s">
        <v>147</v>
      </c>
      <c r="K68" t="s">
        <v>158</v>
      </c>
    </row>
    <row r="69" spans="1:14">
      <c r="A69" s="1">
        <v>2015</v>
      </c>
      <c r="B69">
        <v>2024.5754999999999</v>
      </c>
      <c r="J69" s="1" t="s">
        <v>132</v>
      </c>
      <c r="K69">
        <v>1</v>
      </c>
      <c r="M69" s="1" t="s">
        <v>132</v>
      </c>
      <c r="N69">
        <f>GETPIVOTDATA("Order ID",$J$68,"Customer Name","Alejandro Grove")</f>
        <v>1</v>
      </c>
    </row>
    <row r="70" spans="1:14">
      <c r="A70" s="1">
        <v>2016</v>
      </c>
      <c r="B70">
        <v>1401.876</v>
      </c>
      <c r="J70" s="1" t="s">
        <v>94</v>
      </c>
      <c r="K70">
        <v>1</v>
      </c>
      <c r="M70" s="1" t="s">
        <v>94</v>
      </c>
      <c r="N70">
        <f>GETPIVOTDATA("Order ID",$J$68,"Customer Name","Andrew Allen")</f>
        <v>1</v>
      </c>
    </row>
    <row r="71" spans="1:14">
      <c r="A71" s="1">
        <v>2017</v>
      </c>
      <c r="B71">
        <v>86.923999999999992</v>
      </c>
      <c r="J71" s="1" t="s">
        <v>69</v>
      </c>
      <c r="K71">
        <v>7</v>
      </c>
      <c r="M71" s="1" t="s">
        <v>69</v>
      </c>
      <c r="N71">
        <f>GETPIVOTDATA("Order ID",$J$68,"Customer Name","Brosina Hoffman")</f>
        <v>7</v>
      </c>
    </row>
    <row r="72" spans="1:14">
      <c r="A72" s="1" t="s">
        <v>151</v>
      </c>
      <c r="B72">
        <v>8193.8194999999996</v>
      </c>
      <c r="J72" s="1" t="s">
        <v>30</v>
      </c>
      <c r="K72">
        <v>2</v>
      </c>
      <c r="M72" s="1" t="s">
        <v>30</v>
      </c>
      <c r="N72">
        <f>GETPIVOTDATA("Order ID",$J$68,"Customer Name","Claire Gute")</f>
        <v>2</v>
      </c>
    </row>
    <row r="73" spans="1:14">
      <c r="J73" s="1" t="s">
        <v>48</v>
      </c>
      <c r="K73">
        <v>1</v>
      </c>
      <c r="M73" s="1" t="s">
        <v>48</v>
      </c>
      <c r="N73">
        <f>GETPIVOTDATA("Order ID",$J$68,"Customer Name","Emily Burns")</f>
        <v>1</v>
      </c>
    </row>
    <row r="74" spans="1:14">
      <c r="J74" s="1" t="s">
        <v>102</v>
      </c>
      <c r="K74">
        <v>1</v>
      </c>
      <c r="M74" s="1" t="s">
        <v>102</v>
      </c>
      <c r="N74">
        <f>GETPIVOTDATA("Order ID",$J$68,"Customer Name","Irene Maddox")</f>
        <v>1</v>
      </c>
    </row>
    <row r="75" spans="1:14">
      <c r="J75" s="1" t="s">
        <v>123</v>
      </c>
      <c r="K75">
        <v>1</v>
      </c>
      <c r="M75" s="1" t="s">
        <v>123</v>
      </c>
      <c r="N75">
        <f>GETPIVOTDATA("Order ID",$J$68,"Customer Name","Pete Kriz")</f>
        <v>1</v>
      </c>
    </row>
    <row r="76" spans="1:14">
      <c r="J76" s="1" t="s">
        <v>109</v>
      </c>
      <c r="K76">
        <v>1</v>
      </c>
      <c r="M76" s="1" t="s">
        <v>109</v>
      </c>
      <c r="N76">
        <f>GETPIVOTDATA("Order ID",$J$68,"Customer Name","Sandra Flanagan")</f>
        <v>1</v>
      </c>
    </row>
    <row r="77" spans="1:14">
      <c r="J77" s="1" t="s">
        <v>58</v>
      </c>
      <c r="K77">
        <v>2</v>
      </c>
      <c r="M77" s="1" t="s">
        <v>58</v>
      </c>
      <c r="N77">
        <f>GETPIVOTDATA("Order ID",$J$68,"Customer Name","Sean O'Donnell")</f>
        <v>2</v>
      </c>
    </row>
    <row r="78" spans="1:14">
      <c r="J78" s="1" t="s">
        <v>117</v>
      </c>
      <c r="K78">
        <v>3</v>
      </c>
      <c r="M78" s="1" t="s">
        <v>117</v>
      </c>
      <c r="N78">
        <f>GETPIVOTDATA("Order ID",$J$68,"Customer Name","Zuschuss Donatelli")</f>
        <v>3</v>
      </c>
    </row>
    <row r="79" spans="1:14">
      <c r="J79" s="1" t="s">
        <v>151</v>
      </c>
      <c r="K79">
        <v>20</v>
      </c>
    </row>
    <row r="82" spans="10:14">
      <c r="J82" s="10" t="s">
        <v>147</v>
      </c>
      <c r="K82" t="s">
        <v>149</v>
      </c>
    </row>
    <row r="83" spans="10:14">
      <c r="J83" s="1" t="s">
        <v>44</v>
      </c>
      <c r="K83">
        <v>219.58199999999999</v>
      </c>
      <c r="M83" s="1" t="s">
        <v>44</v>
      </c>
      <c r="N83">
        <f>GETPIVOTDATA("Profit",$J$82,"Product Name","Hon Deluxe Fabric Upholstered Stacking Chairs, Rounded Back")</f>
        <v>219.58199999999999</v>
      </c>
    </row>
    <row r="84" spans="10:14">
      <c r="J84" s="1" t="s">
        <v>106</v>
      </c>
      <c r="K84">
        <v>132.59219999999999</v>
      </c>
      <c r="M84" s="1" t="s">
        <v>106</v>
      </c>
      <c r="N84">
        <f>GETPIVOTDATA("Profit",$J$82,"Product Name","Fellowes PB200 Plastic Comb Binding Machine")</f>
        <v>132.59219999999999</v>
      </c>
    </row>
    <row r="85" spans="10:14">
      <c r="J85" s="1" t="s">
        <v>81</v>
      </c>
      <c r="K85">
        <v>90.715199999999996</v>
      </c>
      <c r="M85" s="1" t="s">
        <v>81</v>
      </c>
      <c r="N85">
        <f>GETPIVOTDATA("Profit",$J$82,"Product Name","Mitel 5320 IP Phone VoIP phone")</f>
        <v>90.715199999999996</v>
      </c>
    </row>
    <row r="86" spans="10:14">
      <c r="J86" s="1" t="s">
        <v>89</v>
      </c>
      <c r="K86">
        <v>85.309199999999805</v>
      </c>
      <c r="M86" s="1" t="s">
        <v>89</v>
      </c>
      <c r="N86">
        <f>GETPIVOTDATA("Profit",$J$82,"Product Name","Chromcraft Rectangular Conference Tables")</f>
        <v>85.309199999999805</v>
      </c>
    </row>
    <row r="87" spans="10:14">
      <c r="J87" s="1" t="s">
        <v>91</v>
      </c>
      <c r="K87">
        <v>68.356800000000007</v>
      </c>
      <c r="M87" s="1" t="s">
        <v>91</v>
      </c>
      <c r="N87">
        <f>GETPIVOTDATA("Profit",$J$82,"Product Name","Konftel 250 Conference phone - Charcoal black")</f>
        <v>68.356800000000007</v>
      </c>
    </row>
    <row r="88" spans="10:14">
      <c r="J88" s="1" t="s">
        <v>40</v>
      </c>
      <c r="K88">
        <v>41.913600000000002</v>
      </c>
      <c r="M88" s="1" t="s">
        <v>40</v>
      </c>
      <c r="N88">
        <f>GETPIVOTDATA("Profit",$J$82,"Product Name","Bush Somerset Collection Bookcase")</f>
        <v>41.913600000000002</v>
      </c>
    </row>
    <row r="89" spans="10:14">
      <c r="J89" s="1" t="s">
        <v>87</v>
      </c>
      <c r="K89">
        <v>34.47</v>
      </c>
      <c r="M89" s="1" t="s">
        <v>87</v>
      </c>
      <c r="N89">
        <f>GETPIVOTDATA("Profit",$J$82,"Product Name","Belkin F5C206VTEL 6 Outlet Surge")</f>
        <v>34.47</v>
      </c>
    </row>
    <row r="90" spans="10:14">
      <c r="J90" s="1" t="s">
        <v>139</v>
      </c>
      <c r="K90">
        <v>16.010999999999999</v>
      </c>
      <c r="M90" s="1" t="s">
        <v>139</v>
      </c>
      <c r="N90">
        <f>GETPIVOTDATA("Profit",$J$82,"Product Name","Cisco SPA 501G IP Phone")</f>
        <v>16.010999999999999</v>
      </c>
    </row>
    <row r="91" spans="10:14">
      <c r="J91" s="1" t="s">
        <v>74</v>
      </c>
      <c r="K91">
        <v>14.1694</v>
      </c>
      <c r="M91" s="1" t="s">
        <v>74</v>
      </c>
      <c r="N91">
        <f>GETPIVOTDATA("Profit",$J$82,"Product Name","Eldon Expressions Wood and Plastic Desk Accessories, Cherry Wood")</f>
        <v>14.1694</v>
      </c>
    </row>
    <row r="92" spans="10:14">
      <c r="J92" s="1" t="s">
        <v>128</v>
      </c>
      <c r="K92">
        <v>13.317600000000001</v>
      </c>
      <c r="M92" s="1" t="s">
        <v>128</v>
      </c>
      <c r="N92">
        <f>GETPIVOTDATA("Profit",$J$82,"Product Name","Stur-D-Stor Shelving, Vertical 5-Shelf: 72""H x 36""W x 18 1/2""D")</f>
        <v>13.317600000000001</v>
      </c>
    </row>
    <row r="93" spans="10:14">
      <c r="J93" s="1" t="s">
        <v>135</v>
      </c>
      <c r="K93">
        <v>9.99</v>
      </c>
      <c r="M93" s="1" t="s">
        <v>135</v>
      </c>
      <c r="N93">
        <f>GETPIVOTDATA("Profit",$J$82,"Product Name","Fellowes Super Stor/Drawer")</f>
        <v>9.99</v>
      </c>
    </row>
    <row r="94" spans="10:14">
      <c r="J94" s="1" t="s">
        <v>120</v>
      </c>
      <c r="K94">
        <v>7.3840000000000003</v>
      </c>
      <c r="M94" s="1" t="s">
        <v>120</v>
      </c>
      <c r="N94">
        <f>GETPIVOTDATA("Profit",$J$82,"Product Name","Wilson Jones Hanging View Binder, White, 1""")</f>
        <v>7.3840000000000003</v>
      </c>
    </row>
    <row r="95" spans="10:14">
      <c r="J95" s="1" t="s">
        <v>84</v>
      </c>
      <c r="K95">
        <v>5.7824999999999998</v>
      </c>
      <c r="M95" s="1" t="s">
        <v>84</v>
      </c>
      <c r="N95">
        <f>GETPIVOTDATA("Profit",$J$82,"Product Name","DXL Angle-View Binders with Locking Rings by Samsill")</f>
        <v>5.7824999999999998</v>
      </c>
    </row>
    <row r="96" spans="10:14">
      <c r="J96" s="1" t="s">
        <v>99</v>
      </c>
      <c r="K96">
        <v>5.4432</v>
      </c>
      <c r="M96" s="1" t="s">
        <v>99</v>
      </c>
      <c r="N96">
        <f>GETPIVOTDATA("Profit",$J$82,"Product Name","Xerox 1967")</f>
        <v>5.4432</v>
      </c>
    </row>
    <row r="97" spans="10:14">
      <c r="J97" s="1" t="s">
        <v>66</v>
      </c>
      <c r="K97">
        <v>2.5164</v>
      </c>
      <c r="M97" s="1" t="s">
        <v>66</v>
      </c>
      <c r="N97">
        <f>GETPIVOTDATA("Profit",$J$82,"Product Name","Eldon Fold 'N Roll Cart System")</f>
        <v>2.5164</v>
      </c>
    </row>
    <row r="98" spans="10:14">
      <c r="J98" s="1" t="s">
        <v>137</v>
      </c>
      <c r="K98">
        <v>2.4824000000000002</v>
      </c>
      <c r="M98" s="1" t="s">
        <v>137</v>
      </c>
      <c r="N98">
        <f>GETPIVOTDATA("Profit",$J$82,"Product Name","Newell 341")</f>
        <v>2.4824000000000002</v>
      </c>
    </row>
    <row r="99" spans="10:14">
      <c r="J99" s="1" t="s">
        <v>77</v>
      </c>
      <c r="K99">
        <v>1.9656</v>
      </c>
      <c r="M99" s="1" t="s">
        <v>77</v>
      </c>
      <c r="N99">
        <f>GETPIVOTDATA("Profit",$J$82,"Product Name","Newell 322")</f>
        <v>1.9656</v>
      </c>
    </row>
    <row r="100" spans="10:14">
      <c r="J100" s="1" t="s">
        <v>114</v>
      </c>
      <c r="K100">
        <v>-1.0196000000000001</v>
      </c>
      <c r="M100" s="1" t="s">
        <v>114</v>
      </c>
      <c r="N100">
        <f>GETPIVOTDATA("Profit",$J$82,"Product Name","Global Deluxe Stacking Chair, Gray")</f>
        <v>-1.0196000000000001</v>
      </c>
    </row>
    <row r="101" spans="10:14">
      <c r="J101" s="1" t="s">
        <v>55</v>
      </c>
      <c r="K101">
        <v>-142.76609999999999</v>
      </c>
      <c r="M101" s="1" t="s">
        <v>55</v>
      </c>
      <c r="N101">
        <f>GETPIVOTDATA("Profit",$J$82,"Product Name","Bretford CR4500 Series Slim Rectangular Table")</f>
        <v>-142.76609999999999</v>
      </c>
    </row>
    <row r="102" spans="10:14">
      <c r="J102" s="1" t="s">
        <v>151</v>
      </c>
      <c r="K102">
        <v>608.21539999999982</v>
      </c>
    </row>
  </sheetData>
  <pageMargins left="0.7" right="0.7" top="0.75" bottom="0.75" header="0.3" footer="0.3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32"/>
  <sheetViews>
    <sheetView topLeftCell="A82" zoomScale="122" zoomScaleNormal="162" workbookViewId="0">
      <selection activeCell="A3" sqref="A3:C7"/>
    </sheetView>
  </sheetViews>
  <sheetFormatPr defaultColWidth="9" defaultRowHeight="14.4"/>
  <cols>
    <col min="1" max="1" width="53.77734375" bestFit="1" customWidth="1"/>
    <col min="2" max="2" width="12.109375" bestFit="1" customWidth="1"/>
    <col min="3" max="3" width="12.109375" customWidth="1"/>
    <col min="4" max="4" width="11.6640625" customWidth="1"/>
    <col min="5" max="5" width="12.109375" customWidth="1"/>
  </cols>
  <sheetData>
    <row r="1" spans="1:3">
      <c r="A1" t="s">
        <v>180</v>
      </c>
    </row>
    <row r="3" spans="1:3">
      <c r="A3" s="10" t="s">
        <v>147</v>
      </c>
      <c r="B3" t="s">
        <v>148</v>
      </c>
      <c r="C3" t="s">
        <v>149</v>
      </c>
    </row>
    <row r="4" spans="1:3">
      <c r="A4" s="1" t="s">
        <v>38</v>
      </c>
      <c r="B4">
        <v>4822.5235000000002</v>
      </c>
      <c r="C4">
        <v>217.18849999999978</v>
      </c>
    </row>
    <row r="5" spans="1:3">
      <c r="A5" s="1" t="s">
        <v>64</v>
      </c>
      <c r="B5">
        <v>1339.24</v>
      </c>
      <c r="C5">
        <v>215.94389999999999</v>
      </c>
    </row>
    <row r="6" spans="1:3">
      <c r="A6" s="1" t="s">
        <v>79</v>
      </c>
      <c r="B6">
        <v>2032.056</v>
      </c>
      <c r="C6">
        <v>175.083</v>
      </c>
    </row>
    <row r="7" spans="1:3">
      <c r="A7" s="1" t="s">
        <v>151</v>
      </c>
      <c r="B7">
        <v>8193.8194999999996</v>
      </c>
      <c r="C7">
        <v>608.2153999999997</v>
      </c>
    </row>
    <row r="9" spans="1:3">
      <c r="A9" s="1" t="s">
        <v>181</v>
      </c>
    </row>
    <row r="12" spans="1:3">
      <c r="A12" s="10" t="s">
        <v>182</v>
      </c>
      <c r="B12" t="s">
        <v>148</v>
      </c>
    </row>
    <row r="13" spans="1:3">
      <c r="A13" s="1" t="s">
        <v>126</v>
      </c>
      <c r="B13">
        <v>665.88</v>
      </c>
    </row>
    <row r="14" spans="1:3">
      <c r="A14" s="1" t="s">
        <v>112</v>
      </c>
      <c r="B14">
        <v>71.371999999999986</v>
      </c>
    </row>
    <row r="15" spans="1:3">
      <c r="A15" s="1" t="s">
        <v>36</v>
      </c>
      <c r="B15">
        <v>1989.3974999999998</v>
      </c>
    </row>
    <row r="16" spans="1:3">
      <c r="A16" s="1" t="s">
        <v>52</v>
      </c>
      <c r="B16">
        <v>5467.17</v>
      </c>
    </row>
    <row r="17" spans="1:5">
      <c r="A17" s="1" t="s">
        <v>151</v>
      </c>
      <c r="B17">
        <v>8193.8194999999996</v>
      </c>
    </row>
    <row r="25" spans="1:5">
      <c r="A25" s="10" t="s">
        <v>147</v>
      </c>
      <c r="B25" t="s">
        <v>148</v>
      </c>
    </row>
    <row r="26" spans="1:5">
      <c r="A26" s="1" t="s">
        <v>59</v>
      </c>
      <c r="B26">
        <v>979.94550000000004</v>
      </c>
    </row>
    <row r="27" spans="1:5">
      <c r="A27" s="1" t="s">
        <v>34</v>
      </c>
      <c r="B27">
        <v>993.89999999999986</v>
      </c>
      <c r="D27" t="s">
        <v>147</v>
      </c>
      <c r="E27" t="s">
        <v>148</v>
      </c>
    </row>
    <row r="28" spans="1:5">
      <c r="A28" s="1" t="s">
        <v>70</v>
      </c>
      <c r="B28">
        <v>3714.3040000000001</v>
      </c>
      <c r="D28" t="s">
        <v>124</v>
      </c>
      <c r="E28">
        <v>665.88</v>
      </c>
    </row>
    <row r="29" spans="1:5">
      <c r="A29" s="1" t="s">
        <v>124</v>
      </c>
      <c r="B29">
        <v>665.88</v>
      </c>
      <c r="D29" t="s">
        <v>59</v>
      </c>
      <c r="E29">
        <v>979.94550000000004</v>
      </c>
    </row>
    <row r="30" spans="1:5">
      <c r="A30" s="1" t="s">
        <v>50</v>
      </c>
      <c r="B30">
        <v>1044.6299999999999</v>
      </c>
      <c r="D30" t="s">
        <v>34</v>
      </c>
      <c r="E30">
        <v>993.9</v>
      </c>
    </row>
    <row r="31" spans="1:5">
      <c r="A31" s="1" t="s">
        <v>151</v>
      </c>
      <c r="B31">
        <v>7398.6594999999998</v>
      </c>
      <c r="D31" t="s">
        <v>50</v>
      </c>
      <c r="E31">
        <v>1044.6300000000001</v>
      </c>
    </row>
    <row r="32" spans="1:5">
      <c r="D32" t="s">
        <v>70</v>
      </c>
      <c r="E32">
        <v>3714.3040000000001</v>
      </c>
    </row>
    <row r="33" spans="1:5">
      <c r="D33" t="s">
        <v>151</v>
      </c>
      <c r="E33">
        <v>7398.6594999999998</v>
      </c>
    </row>
    <row r="34" spans="1:5">
      <c r="A34" s="10" t="s">
        <v>147</v>
      </c>
      <c r="B34" t="s">
        <v>158</v>
      </c>
    </row>
    <row r="35" spans="1:5">
      <c r="A35" s="1" t="s">
        <v>28</v>
      </c>
      <c r="B35">
        <v>7</v>
      </c>
    </row>
    <row r="36" spans="1:5">
      <c r="A36" s="1" t="s">
        <v>46</v>
      </c>
      <c r="B36">
        <v>13</v>
      </c>
    </row>
    <row r="37" spans="1:5">
      <c r="A37" s="1" t="s">
        <v>151</v>
      </c>
      <c r="B37">
        <v>20</v>
      </c>
    </row>
    <row r="41" spans="1:5">
      <c r="A41" s="10" t="s">
        <v>147</v>
      </c>
      <c r="B41" t="s">
        <v>148</v>
      </c>
      <c r="C41" t="s">
        <v>149</v>
      </c>
    </row>
    <row r="42" spans="1:5">
      <c r="A42" s="1" t="s">
        <v>32</v>
      </c>
      <c r="B42">
        <v>8193.8194999999996</v>
      </c>
      <c r="C42">
        <v>608.2153999999997</v>
      </c>
    </row>
    <row r="43" spans="1:5">
      <c r="A43" s="1" t="s">
        <v>151</v>
      </c>
      <c r="B43">
        <v>8193.8194999999996</v>
      </c>
      <c r="C43">
        <v>608.2153999999997</v>
      </c>
    </row>
    <row r="47" spans="1:5">
      <c r="B47" s="10" t="s">
        <v>147</v>
      </c>
      <c r="C47" t="s">
        <v>183</v>
      </c>
      <c r="D47" t="s">
        <v>184</v>
      </c>
      <c r="E47" t="s">
        <v>149</v>
      </c>
    </row>
    <row r="48" spans="1:5">
      <c r="B48" s="1" t="s">
        <v>86</v>
      </c>
      <c r="C48">
        <v>34.47</v>
      </c>
      <c r="D48">
        <v>34.47</v>
      </c>
      <c r="E48">
        <v>34.47</v>
      </c>
    </row>
    <row r="49" spans="2:5">
      <c r="B49" s="1" t="s">
        <v>76</v>
      </c>
      <c r="C49">
        <v>2.4824000000000002</v>
      </c>
      <c r="D49">
        <v>1.9656</v>
      </c>
      <c r="E49">
        <v>4.4480000000000004</v>
      </c>
    </row>
    <row r="50" spans="2:5">
      <c r="B50" s="1" t="s">
        <v>83</v>
      </c>
      <c r="C50">
        <v>132.59219999999999</v>
      </c>
      <c r="D50">
        <v>5.7824999999999998</v>
      </c>
      <c r="E50">
        <v>145.75869999999998</v>
      </c>
    </row>
    <row r="51" spans="2:5">
      <c r="B51" s="1" t="s">
        <v>39</v>
      </c>
      <c r="C51">
        <v>41.913600000000002</v>
      </c>
      <c r="D51">
        <v>41.913600000000002</v>
      </c>
      <c r="E51">
        <v>41.913600000000002</v>
      </c>
    </row>
    <row r="52" spans="2:5">
      <c r="B52" s="1" t="s">
        <v>43</v>
      </c>
      <c r="C52">
        <v>219.58199999999999</v>
      </c>
      <c r="D52">
        <v>-1.0196000000000001</v>
      </c>
      <c r="E52">
        <v>218.5624</v>
      </c>
    </row>
    <row r="53" spans="2:5">
      <c r="B53" s="1" t="s">
        <v>73</v>
      </c>
      <c r="C53">
        <v>14.1694</v>
      </c>
      <c r="D53">
        <v>14.1694</v>
      </c>
      <c r="E53">
        <v>14.1694</v>
      </c>
    </row>
    <row r="54" spans="2:5">
      <c r="B54" s="1" t="s">
        <v>98</v>
      </c>
      <c r="C54">
        <v>5.4432</v>
      </c>
      <c r="D54">
        <v>5.4432</v>
      </c>
      <c r="E54">
        <v>5.4432</v>
      </c>
    </row>
    <row r="55" spans="2:5">
      <c r="B55" s="1" t="s">
        <v>80</v>
      </c>
      <c r="C55">
        <v>90.715199999999996</v>
      </c>
      <c r="D55">
        <v>16.010999999999999</v>
      </c>
      <c r="E55">
        <v>175.083</v>
      </c>
    </row>
    <row r="56" spans="2:5">
      <c r="B56" s="1" t="s">
        <v>65</v>
      </c>
      <c r="C56">
        <v>13.317600000000001</v>
      </c>
      <c r="D56">
        <v>2.5164</v>
      </c>
      <c r="E56">
        <v>25.823999999999998</v>
      </c>
    </row>
    <row r="57" spans="2:5">
      <c r="B57" s="1" t="s">
        <v>54</v>
      </c>
      <c r="C57">
        <v>240.26490000000001</v>
      </c>
      <c r="D57">
        <v>-383.03100000000001</v>
      </c>
      <c r="E57">
        <v>-57.456900000000189</v>
      </c>
    </row>
    <row r="58" spans="2:5">
      <c r="B58" s="1" t="s">
        <v>151</v>
      </c>
      <c r="C58">
        <v>240.26490000000001</v>
      </c>
      <c r="D58">
        <v>-383.03100000000001</v>
      </c>
      <c r="E58">
        <v>608.2153999999997</v>
      </c>
    </row>
    <row r="75" spans="1:2">
      <c r="A75" s="10" t="s">
        <v>147</v>
      </c>
      <c r="B75" t="s">
        <v>168</v>
      </c>
    </row>
    <row r="76" spans="1:2">
      <c r="A76" s="1" t="s">
        <v>61</v>
      </c>
      <c r="B76">
        <v>1.40488999999998</v>
      </c>
    </row>
    <row r="77" spans="1:2">
      <c r="A77" s="1" t="s">
        <v>129</v>
      </c>
      <c r="B77">
        <v>14.664300000000001</v>
      </c>
    </row>
    <row r="78" spans="1:2">
      <c r="A78" s="1" t="s">
        <v>41</v>
      </c>
      <c r="B78">
        <v>70.604737499999999</v>
      </c>
    </row>
    <row r="79" spans="1:2">
      <c r="A79" s="1" t="s">
        <v>151</v>
      </c>
      <c r="B79">
        <v>30.410769999999992</v>
      </c>
    </row>
    <row r="84" spans="1:2">
      <c r="A84" s="10" t="s">
        <v>147</v>
      </c>
      <c r="B84" t="s">
        <v>148</v>
      </c>
    </row>
    <row r="85" spans="1:2">
      <c r="A85" s="1">
        <v>2014</v>
      </c>
      <c r="B85">
        <v>4680.4440000000004</v>
      </c>
    </row>
    <row r="86" spans="1:2">
      <c r="A86" s="2">
        <v>5</v>
      </c>
      <c r="B86">
        <v>55.5</v>
      </c>
    </row>
    <row r="87" spans="1:2">
      <c r="A87" s="2">
        <v>6</v>
      </c>
      <c r="B87">
        <v>3714.3040000000001</v>
      </c>
    </row>
    <row r="88" spans="1:2">
      <c r="A88" s="2">
        <v>8</v>
      </c>
      <c r="B88">
        <v>244.76000000000002</v>
      </c>
    </row>
    <row r="89" spans="1:2">
      <c r="A89" s="2">
        <v>11</v>
      </c>
      <c r="B89">
        <v>665.88</v>
      </c>
    </row>
    <row r="90" spans="1:2">
      <c r="A90" s="1">
        <v>2015</v>
      </c>
      <c r="B90">
        <v>2024.5754999999999</v>
      </c>
    </row>
    <row r="91" spans="1:2">
      <c r="A91" s="2">
        <v>9</v>
      </c>
      <c r="B91">
        <v>1044.6299999999999</v>
      </c>
    </row>
    <row r="92" spans="1:2">
      <c r="A92" s="2">
        <v>10</v>
      </c>
      <c r="B92">
        <v>979.94550000000004</v>
      </c>
    </row>
    <row r="93" spans="1:2">
      <c r="A93" s="1">
        <v>2016</v>
      </c>
      <c r="B93">
        <v>1401.876</v>
      </c>
    </row>
    <row r="94" spans="1:2">
      <c r="A94" s="2">
        <v>11</v>
      </c>
      <c r="B94">
        <v>993.89999999999986</v>
      </c>
    </row>
    <row r="95" spans="1:2">
      <c r="A95" s="2">
        <v>12</v>
      </c>
      <c r="B95">
        <v>407.97600000000006</v>
      </c>
    </row>
    <row r="96" spans="1:2">
      <c r="A96" s="1">
        <v>2017</v>
      </c>
      <c r="B96">
        <v>86.923999999999992</v>
      </c>
    </row>
    <row r="97" spans="1:2">
      <c r="A97" s="2">
        <v>4</v>
      </c>
      <c r="B97">
        <v>15.552000000000003</v>
      </c>
    </row>
    <row r="98" spans="1:2">
      <c r="A98" s="2">
        <v>7</v>
      </c>
      <c r="B98">
        <v>71.371999999999986</v>
      </c>
    </row>
    <row r="99" spans="1:2">
      <c r="A99" s="1" t="s">
        <v>151</v>
      </c>
      <c r="B99">
        <v>8193.8194999999996</v>
      </c>
    </row>
    <row r="104" spans="1:2">
      <c r="A104" s="10" t="s">
        <v>147</v>
      </c>
      <c r="B104" t="s">
        <v>158</v>
      </c>
    </row>
    <row r="105" spans="1:2">
      <c r="A105" s="1" t="s">
        <v>132</v>
      </c>
      <c r="B105">
        <v>1</v>
      </c>
    </row>
    <row r="106" spans="1:2">
      <c r="A106" s="1" t="s">
        <v>94</v>
      </c>
      <c r="B106">
        <v>1</v>
      </c>
    </row>
    <row r="107" spans="1:2">
      <c r="A107" s="1" t="s">
        <v>69</v>
      </c>
      <c r="B107">
        <v>7</v>
      </c>
    </row>
    <row r="108" spans="1:2">
      <c r="A108" s="1" t="s">
        <v>30</v>
      </c>
      <c r="B108">
        <v>2</v>
      </c>
    </row>
    <row r="109" spans="1:2">
      <c r="A109" s="1" t="s">
        <v>48</v>
      </c>
      <c r="B109">
        <v>1</v>
      </c>
    </row>
    <row r="110" spans="1:2">
      <c r="A110" s="1" t="s">
        <v>102</v>
      </c>
      <c r="B110">
        <v>1</v>
      </c>
    </row>
    <row r="111" spans="1:2">
      <c r="A111" s="1" t="s">
        <v>123</v>
      </c>
      <c r="B111">
        <v>1</v>
      </c>
    </row>
    <row r="112" spans="1:2">
      <c r="A112" s="1" t="s">
        <v>109</v>
      </c>
      <c r="B112">
        <v>1</v>
      </c>
    </row>
    <row r="113" spans="1:2">
      <c r="A113" s="1" t="s">
        <v>151</v>
      </c>
      <c r="B113">
        <v>15</v>
      </c>
    </row>
    <row r="126" spans="1:2">
      <c r="A126" s="10" t="s">
        <v>147</v>
      </c>
      <c r="B126" t="s">
        <v>149</v>
      </c>
    </row>
    <row r="127" spans="1:2">
      <c r="A127" s="1" t="s">
        <v>89</v>
      </c>
      <c r="B127">
        <v>85.309199999999805</v>
      </c>
    </row>
    <row r="128" spans="1:2">
      <c r="A128" s="1" t="s">
        <v>106</v>
      </c>
      <c r="B128">
        <v>132.59219999999999</v>
      </c>
    </row>
    <row r="129" spans="1:2">
      <c r="A129" s="1" t="s">
        <v>44</v>
      </c>
      <c r="B129">
        <v>219.58199999999999</v>
      </c>
    </row>
    <row r="130" spans="1:2">
      <c r="A130" s="1" t="s">
        <v>91</v>
      </c>
      <c r="B130">
        <v>68.356800000000007</v>
      </c>
    </row>
    <row r="131" spans="1:2">
      <c r="A131" s="1" t="s">
        <v>81</v>
      </c>
      <c r="B131">
        <v>90.715199999999996</v>
      </c>
    </row>
    <row r="132" spans="1:2">
      <c r="A132" s="1" t="s">
        <v>151</v>
      </c>
      <c r="B132">
        <v>596.55539999999985</v>
      </c>
    </row>
  </sheetData>
  <sortState xmlns:xlrd2="http://schemas.microsoft.com/office/spreadsheetml/2017/richdata2" ref="D28:E33">
    <sortCondition ref="E28:E33"/>
  </sortState>
  <pageMargins left="0.7" right="0.7" top="0.75" bottom="0.75" header="0.3" footer="0.3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9"/>
  <sheetViews>
    <sheetView zoomScale="92" zoomScaleNormal="92" workbookViewId="0">
      <selection sqref="A1:W29"/>
    </sheetView>
  </sheetViews>
  <sheetFormatPr defaultColWidth="9" defaultRowHeight="14.4"/>
  <sheetData>
    <row r="1" spans="1:2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</sheetData>
  <mergeCells count="1">
    <mergeCell ref="A1:W29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9"/>
  <sheetViews>
    <sheetView tabSelected="1" topLeftCell="A3" zoomScale="96" zoomScaleNormal="96" workbookViewId="0">
      <selection sqref="A1:W29"/>
    </sheetView>
  </sheetViews>
  <sheetFormatPr defaultColWidth="9" defaultRowHeight="14.4"/>
  <sheetData>
    <row r="1" spans="1:2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</sheetData>
  <mergeCells count="1">
    <mergeCell ref="A1:W29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Questions</vt:lpstr>
      <vt:lpstr>Pivot Tables</vt:lpstr>
      <vt:lpstr>Dashboard1</vt:lpstr>
      <vt:lpstr>Dashboard2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priya gaikwad</cp:lastModifiedBy>
  <cp:lastPrinted>2025-09-14T17:49:00Z</cp:lastPrinted>
  <dcterms:created xsi:type="dcterms:W3CDTF">2024-04-17T21:37:00Z</dcterms:created>
  <dcterms:modified xsi:type="dcterms:W3CDTF">2025-12-09T15:30:36Z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DC11E44AD0174C24A2C41F21478A8955_12</vt:lpwstr>
  </property>
  <property fmtid="{D5CDD505-2E9C-101B-9397-08002B2CF9AE}" pid="3" name="KSOProductBuildVer">
    <vt:lpwstr>1033-12.2.0.22549</vt:lpwstr>
  </property>
</Properties>
</file>