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pivotTables/pivotTable5.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Priya\Desktop\Speedup\Data Science\Advance excel\Advance Excel Project\Project 3 Student Performance Analysis\"/>
    </mc:Choice>
  </mc:AlternateContent>
  <xr:revisionPtr revIDLastSave="0" documentId="13_ncr:1_{1F733176-43A9-44E9-8FA5-174F70B0D4C3}" xr6:coauthVersionLast="47" xr6:coauthVersionMax="47" xr10:uidLastSave="{00000000-0000-0000-0000-000000000000}"/>
  <bookViews>
    <workbookView xWindow="-108" yWindow="-108" windowWidth="23256" windowHeight="12576" activeTab="5" xr2:uid="{00000000-000D-0000-FFFF-FFFF00000000}"/>
  </bookViews>
  <sheets>
    <sheet name="Students" sheetId="1" r:id="rId1"/>
    <sheet name="Courses" sheetId="2" r:id="rId2"/>
    <sheet name="Problem statement" sheetId="4" r:id="rId3"/>
    <sheet name="Enrollments" sheetId="3" r:id="rId4"/>
    <sheet name="Combined" sheetId="8" r:id="rId5"/>
    <sheet name="Dashboard" sheetId="15" r:id="rId6"/>
    <sheet name="Problem1" sheetId="9" r:id="rId7"/>
    <sheet name="Problem2" sheetId="10" r:id="rId8"/>
    <sheet name="Problem3" sheetId="11" r:id="rId9"/>
    <sheet name="Problem4" sheetId="12" r:id="rId10"/>
    <sheet name="Problem5" sheetId="13" r:id="rId11"/>
    <sheet name="Problem6" sheetId="14" r:id="rId12"/>
  </sheets>
  <definedNames>
    <definedName name="_xlcn.WorksheetConnection_Student_Data_Analysis_using_excel.xlsxTable11" hidden="1">Table1[]</definedName>
    <definedName name="Slicer_Average_GPA1">#N/A</definedName>
    <definedName name="Slicer_Department_Name">#N/A</definedName>
    <definedName name="Slicer_Semester">#N/A</definedName>
    <definedName name="Tab_1">Combined!$A$2:$I$501</definedName>
  </definedNames>
  <calcPr calcId="191029"/>
  <pivotCaches>
    <pivotCache cacheId="1" r:id="rId13"/>
    <pivotCache cacheId="2" r:id="rId14"/>
    <pivotCache cacheId="3" r:id="rId15"/>
    <pivotCache cacheId="4"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F519" i="14" l="1"/>
  <c r="E519" i="14"/>
  <c r="D519" i="14"/>
  <c r="B519" i="14"/>
  <c r="F518" i="14"/>
  <c r="E518" i="14"/>
  <c r="D518" i="14"/>
  <c r="B518" i="14"/>
  <c r="F517" i="14"/>
  <c r="E517" i="14"/>
  <c r="D517" i="14"/>
  <c r="B517" i="14"/>
  <c r="F516" i="14"/>
  <c r="E516" i="14"/>
  <c r="D516" i="14"/>
  <c r="B516" i="14"/>
  <c r="F515" i="14"/>
  <c r="E515" i="14"/>
  <c r="D515" i="14"/>
  <c r="B515" i="14"/>
  <c r="F514" i="14"/>
  <c r="E514" i="14"/>
  <c r="D514" i="14"/>
  <c r="B514" i="14"/>
  <c r="F513" i="14"/>
  <c r="E513" i="14"/>
  <c r="D513" i="14"/>
  <c r="B513" i="14"/>
  <c r="F512" i="14"/>
  <c r="E512" i="14"/>
  <c r="D512" i="14"/>
  <c r="B512" i="14"/>
  <c r="F511" i="14"/>
  <c r="E511" i="14"/>
  <c r="D511" i="14"/>
  <c r="B511" i="14"/>
  <c r="F510" i="14"/>
  <c r="E510" i="14"/>
  <c r="D510" i="14"/>
  <c r="B510" i="14"/>
  <c r="F509" i="14"/>
  <c r="E509" i="14"/>
  <c r="D509" i="14"/>
  <c r="B509" i="14"/>
  <c r="F508" i="14"/>
  <c r="E508" i="14"/>
  <c r="D508" i="14"/>
  <c r="B508" i="14"/>
  <c r="F507" i="14"/>
  <c r="E507" i="14"/>
  <c r="D507" i="14"/>
  <c r="B507" i="14"/>
  <c r="F506" i="14"/>
  <c r="E506" i="14"/>
  <c r="D506" i="14"/>
  <c r="B506" i="14"/>
  <c r="F505" i="14"/>
  <c r="E505" i="14"/>
  <c r="D505" i="14"/>
  <c r="B505" i="14"/>
  <c r="F504" i="14"/>
  <c r="E504" i="14"/>
  <c r="D504" i="14"/>
  <c r="B504" i="14"/>
  <c r="F503" i="14"/>
  <c r="E503" i="14"/>
  <c r="D503" i="14"/>
  <c r="B503" i="14"/>
  <c r="F502" i="14"/>
  <c r="E502" i="14"/>
  <c r="D502" i="14"/>
  <c r="B502" i="14"/>
  <c r="F501" i="14"/>
  <c r="E501" i="14"/>
  <c r="D501" i="14"/>
  <c r="B501" i="14"/>
  <c r="F500" i="14"/>
  <c r="E500" i="14"/>
  <c r="D500" i="14"/>
  <c r="B500" i="14"/>
  <c r="F499" i="14"/>
  <c r="E499" i="14"/>
  <c r="D499" i="14"/>
  <c r="B499" i="14"/>
  <c r="F498" i="14"/>
  <c r="E498" i="14"/>
  <c r="D498" i="14"/>
  <c r="B498" i="14"/>
  <c r="F497" i="14"/>
  <c r="E497" i="14"/>
  <c r="D497" i="14"/>
  <c r="B497" i="14"/>
  <c r="F496" i="14"/>
  <c r="E496" i="14"/>
  <c r="D496" i="14"/>
  <c r="B496" i="14"/>
  <c r="F495" i="14"/>
  <c r="E495" i="14"/>
  <c r="D495" i="14"/>
  <c r="B495" i="14"/>
  <c r="F494" i="14"/>
  <c r="E494" i="14"/>
  <c r="D494" i="14"/>
  <c r="B494" i="14"/>
  <c r="F493" i="14"/>
  <c r="E493" i="14"/>
  <c r="D493" i="14"/>
  <c r="B493" i="14"/>
  <c r="F492" i="14"/>
  <c r="E492" i="14"/>
  <c r="D492" i="14"/>
  <c r="B492" i="14"/>
  <c r="F491" i="14"/>
  <c r="E491" i="14"/>
  <c r="D491" i="14"/>
  <c r="B491" i="14"/>
  <c r="F490" i="14"/>
  <c r="E490" i="14"/>
  <c r="D490" i="14"/>
  <c r="B490" i="14"/>
  <c r="F489" i="14"/>
  <c r="E489" i="14"/>
  <c r="D489" i="14"/>
  <c r="B489" i="14"/>
  <c r="F488" i="14"/>
  <c r="E488" i="14"/>
  <c r="D488" i="14"/>
  <c r="B488" i="14"/>
  <c r="F487" i="14"/>
  <c r="E487" i="14"/>
  <c r="D487" i="14"/>
  <c r="B487" i="14"/>
  <c r="F486" i="14"/>
  <c r="E486" i="14"/>
  <c r="D486" i="14"/>
  <c r="B486" i="14"/>
  <c r="F485" i="14"/>
  <c r="E485" i="14"/>
  <c r="D485" i="14"/>
  <c r="B485" i="14"/>
  <c r="F484" i="14"/>
  <c r="E484" i="14"/>
  <c r="D484" i="14"/>
  <c r="B484" i="14"/>
  <c r="F483" i="14"/>
  <c r="E483" i="14"/>
  <c r="D483" i="14"/>
  <c r="B483" i="14"/>
  <c r="F482" i="14"/>
  <c r="E482" i="14"/>
  <c r="D482" i="14"/>
  <c r="B482" i="14"/>
  <c r="F481" i="14"/>
  <c r="E481" i="14"/>
  <c r="D481" i="14"/>
  <c r="B481" i="14"/>
  <c r="F480" i="14"/>
  <c r="E480" i="14"/>
  <c r="D480" i="14"/>
  <c r="B480" i="14"/>
  <c r="F479" i="14"/>
  <c r="E479" i="14"/>
  <c r="D479" i="14"/>
  <c r="B479" i="14"/>
  <c r="F478" i="14"/>
  <c r="E478" i="14"/>
  <c r="D478" i="14"/>
  <c r="B478" i="14"/>
  <c r="F477" i="14"/>
  <c r="E477" i="14"/>
  <c r="D477" i="14"/>
  <c r="B477" i="14"/>
  <c r="F476" i="14"/>
  <c r="E476" i="14"/>
  <c r="D476" i="14"/>
  <c r="B476" i="14"/>
  <c r="F475" i="14"/>
  <c r="E475" i="14"/>
  <c r="D475" i="14"/>
  <c r="B475" i="14"/>
  <c r="F474" i="14"/>
  <c r="E474" i="14"/>
  <c r="D474" i="14"/>
  <c r="B474" i="14"/>
  <c r="F473" i="14"/>
  <c r="E473" i="14"/>
  <c r="D473" i="14"/>
  <c r="B473" i="14"/>
  <c r="F472" i="14"/>
  <c r="E472" i="14"/>
  <c r="D472" i="14"/>
  <c r="B472" i="14"/>
  <c r="F471" i="14"/>
  <c r="E471" i="14"/>
  <c r="D471" i="14"/>
  <c r="B471" i="14"/>
  <c r="F470" i="14"/>
  <c r="E470" i="14"/>
  <c r="D470" i="14"/>
  <c r="B470" i="14"/>
  <c r="F469" i="14"/>
  <c r="E469" i="14"/>
  <c r="D469" i="14"/>
  <c r="B469" i="14"/>
  <c r="F468" i="14"/>
  <c r="E468" i="14"/>
  <c r="D468" i="14"/>
  <c r="B468" i="14"/>
  <c r="F467" i="14"/>
  <c r="E467" i="14"/>
  <c r="D467" i="14"/>
  <c r="B467" i="14"/>
  <c r="F466" i="14"/>
  <c r="E466" i="14"/>
  <c r="D466" i="14"/>
  <c r="B466" i="14"/>
  <c r="F465" i="14"/>
  <c r="E465" i="14"/>
  <c r="D465" i="14"/>
  <c r="B465" i="14"/>
  <c r="F464" i="14"/>
  <c r="E464" i="14"/>
  <c r="D464" i="14"/>
  <c r="B464" i="14"/>
  <c r="F463" i="14"/>
  <c r="E463" i="14"/>
  <c r="D463" i="14"/>
  <c r="B463" i="14"/>
  <c r="F462" i="14"/>
  <c r="E462" i="14"/>
  <c r="D462" i="14"/>
  <c r="B462" i="14"/>
  <c r="F461" i="14"/>
  <c r="E461" i="14"/>
  <c r="D461" i="14"/>
  <c r="B461" i="14"/>
  <c r="F460" i="14"/>
  <c r="E460" i="14"/>
  <c r="D460" i="14"/>
  <c r="B460" i="14"/>
  <c r="F459" i="14"/>
  <c r="E459" i="14"/>
  <c r="D459" i="14"/>
  <c r="B459" i="14"/>
  <c r="F458" i="14"/>
  <c r="E458" i="14"/>
  <c r="D458" i="14"/>
  <c r="B458" i="14"/>
  <c r="F457" i="14"/>
  <c r="E457" i="14"/>
  <c r="D457" i="14"/>
  <c r="B457" i="14"/>
  <c r="F456" i="14"/>
  <c r="E456" i="14"/>
  <c r="D456" i="14"/>
  <c r="B456" i="14"/>
  <c r="F455" i="14"/>
  <c r="E455" i="14"/>
  <c r="D455" i="14"/>
  <c r="B455" i="14"/>
  <c r="F454" i="14"/>
  <c r="E454" i="14"/>
  <c r="D454" i="14"/>
  <c r="B454" i="14"/>
  <c r="F453" i="14"/>
  <c r="E453" i="14"/>
  <c r="D453" i="14"/>
  <c r="B453" i="14"/>
  <c r="F452" i="14"/>
  <c r="E452" i="14"/>
  <c r="D452" i="14"/>
  <c r="B452" i="14"/>
  <c r="F451" i="14"/>
  <c r="E451" i="14"/>
  <c r="D451" i="14"/>
  <c r="B451" i="14"/>
  <c r="F450" i="14"/>
  <c r="E450" i="14"/>
  <c r="D450" i="14"/>
  <c r="B450" i="14"/>
  <c r="F449" i="14"/>
  <c r="E449" i="14"/>
  <c r="D449" i="14"/>
  <c r="B449" i="14"/>
  <c r="F448" i="14"/>
  <c r="E448" i="14"/>
  <c r="D448" i="14"/>
  <c r="B448" i="14"/>
  <c r="F447" i="14"/>
  <c r="E447" i="14"/>
  <c r="D447" i="14"/>
  <c r="B447" i="14"/>
  <c r="F446" i="14"/>
  <c r="E446" i="14"/>
  <c r="D446" i="14"/>
  <c r="B446" i="14"/>
  <c r="F445" i="14"/>
  <c r="E445" i="14"/>
  <c r="D445" i="14"/>
  <c r="B445" i="14"/>
  <c r="F444" i="14"/>
  <c r="E444" i="14"/>
  <c r="D444" i="14"/>
  <c r="B444" i="14"/>
  <c r="F443" i="14"/>
  <c r="E443" i="14"/>
  <c r="D443" i="14"/>
  <c r="B443" i="14"/>
  <c r="F442" i="14"/>
  <c r="E442" i="14"/>
  <c r="D442" i="14"/>
  <c r="B442" i="14"/>
  <c r="F441" i="14"/>
  <c r="E441" i="14"/>
  <c r="D441" i="14"/>
  <c r="B441" i="14"/>
  <c r="F440" i="14"/>
  <c r="E440" i="14"/>
  <c r="D440" i="14"/>
  <c r="B440" i="14"/>
  <c r="F439" i="14"/>
  <c r="E439" i="14"/>
  <c r="D439" i="14"/>
  <c r="B439" i="14"/>
  <c r="F438" i="14"/>
  <c r="E438" i="14"/>
  <c r="D438" i="14"/>
  <c r="B438" i="14"/>
  <c r="F437" i="14"/>
  <c r="E437" i="14"/>
  <c r="D437" i="14"/>
  <c r="B437" i="14"/>
  <c r="F436" i="14"/>
  <c r="E436" i="14"/>
  <c r="D436" i="14"/>
  <c r="B436" i="14"/>
  <c r="F435" i="14"/>
  <c r="E435" i="14"/>
  <c r="D435" i="14"/>
  <c r="B435" i="14"/>
  <c r="F434" i="14"/>
  <c r="E434" i="14"/>
  <c r="D434" i="14"/>
  <c r="B434" i="14"/>
  <c r="F433" i="14"/>
  <c r="E433" i="14"/>
  <c r="D433" i="14"/>
  <c r="B433" i="14"/>
  <c r="F432" i="14"/>
  <c r="E432" i="14"/>
  <c r="D432" i="14"/>
  <c r="B432" i="14"/>
  <c r="F431" i="14"/>
  <c r="E431" i="14"/>
  <c r="D431" i="14"/>
  <c r="B431" i="14"/>
  <c r="F430" i="14"/>
  <c r="E430" i="14"/>
  <c r="D430" i="14"/>
  <c r="B430" i="14"/>
  <c r="F429" i="14"/>
  <c r="E429" i="14"/>
  <c r="D429" i="14"/>
  <c r="B429" i="14"/>
  <c r="F428" i="14"/>
  <c r="E428" i="14"/>
  <c r="D428" i="14"/>
  <c r="B428" i="14"/>
  <c r="F427" i="14"/>
  <c r="E427" i="14"/>
  <c r="D427" i="14"/>
  <c r="B427" i="14"/>
  <c r="F426" i="14"/>
  <c r="E426" i="14"/>
  <c r="D426" i="14"/>
  <c r="B426" i="14"/>
  <c r="F425" i="14"/>
  <c r="E425" i="14"/>
  <c r="D425" i="14"/>
  <c r="B425" i="14"/>
  <c r="F424" i="14"/>
  <c r="E424" i="14"/>
  <c r="D424" i="14"/>
  <c r="B424" i="14"/>
  <c r="F423" i="14"/>
  <c r="E423" i="14"/>
  <c r="D423" i="14"/>
  <c r="B423" i="14"/>
  <c r="F422" i="14"/>
  <c r="E422" i="14"/>
  <c r="D422" i="14"/>
  <c r="B422" i="14"/>
  <c r="F421" i="14"/>
  <c r="E421" i="14"/>
  <c r="D421" i="14"/>
  <c r="B421" i="14"/>
  <c r="F420" i="14"/>
  <c r="E420" i="14"/>
  <c r="D420" i="14"/>
  <c r="B420" i="14"/>
  <c r="F419" i="14"/>
  <c r="E419" i="14"/>
  <c r="D419" i="14"/>
  <c r="B419" i="14"/>
  <c r="F418" i="14"/>
  <c r="E418" i="14"/>
  <c r="D418" i="14"/>
  <c r="B418" i="14"/>
  <c r="F417" i="14"/>
  <c r="E417" i="14"/>
  <c r="D417" i="14"/>
  <c r="B417" i="14"/>
  <c r="F416" i="14"/>
  <c r="E416" i="14"/>
  <c r="D416" i="14"/>
  <c r="B416" i="14"/>
  <c r="F415" i="14"/>
  <c r="E415" i="14"/>
  <c r="D415" i="14"/>
  <c r="B415" i="14"/>
  <c r="F414" i="14"/>
  <c r="E414" i="14"/>
  <c r="D414" i="14"/>
  <c r="B414" i="14"/>
  <c r="F413" i="14"/>
  <c r="E413" i="14"/>
  <c r="D413" i="14"/>
  <c r="B413" i="14"/>
  <c r="F412" i="14"/>
  <c r="E412" i="14"/>
  <c r="D412" i="14"/>
  <c r="B412" i="14"/>
  <c r="F411" i="14"/>
  <c r="E411" i="14"/>
  <c r="D411" i="14"/>
  <c r="B411" i="14"/>
  <c r="F410" i="14"/>
  <c r="E410" i="14"/>
  <c r="D410" i="14"/>
  <c r="B410" i="14"/>
  <c r="F409" i="14"/>
  <c r="E409" i="14"/>
  <c r="D409" i="14"/>
  <c r="B409" i="14"/>
  <c r="F408" i="14"/>
  <c r="E408" i="14"/>
  <c r="D408" i="14"/>
  <c r="B408" i="14"/>
  <c r="F407" i="14"/>
  <c r="E407" i="14"/>
  <c r="D407" i="14"/>
  <c r="B407" i="14"/>
  <c r="F406" i="14"/>
  <c r="E406" i="14"/>
  <c r="D406" i="14"/>
  <c r="B406" i="14"/>
  <c r="F405" i="14"/>
  <c r="E405" i="14"/>
  <c r="D405" i="14"/>
  <c r="B405" i="14"/>
  <c r="F404" i="14"/>
  <c r="E404" i="14"/>
  <c r="D404" i="14"/>
  <c r="B404" i="14"/>
  <c r="F403" i="14"/>
  <c r="E403" i="14"/>
  <c r="D403" i="14"/>
  <c r="B403" i="14"/>
  <c r="F402" i="14"/>
  <c r="E402" i="14"/>
  <c r="D402" i="14"/>
  <c r="B402" i="14"/>
  <c r="F401" i="14"/>
  <c r="E401" i="14"/>
  <c r="D401" i="14"/>
  <c r="B401" i="14"/>
  <c r="F400" i="14"/>
  <c r="E400" i="14"/>
  <c r="D400" i="14"/>
  <c r="B400" i="14"/>
  <c r="F399" i="14"/>
  <c r="E399" i="14"/>
  <c r="D399" i="14"/>
  <c r="B399" i="14"/>
  <c r="F398" i="14"/>
  <c r="E398" i="14"/>
  <c r="D398" i="14"/>
  <c r="B398" i="14"/>
  <c r="F397" i="14"/>
  <c r="E397" i="14"/>
  <c r="D397" i="14"/>
  <c r="B397" i="14"/>
  <c r="F396" i="14"/>
  <c r="E396" i="14"/>
  <c r="D396" i="14"/>
  <c r="B396" i="14"/>
  <c r="F395" i="14"/>
  <c r="E395" i="14"/>
  <c r="D395" i="14"/>
  <c r="B395" i="14"/>
  <c r="F394" i="14"/>
  <c r="E394" i="14"/>
  <c r="D394" i="14"/>
  <c r="B394" i="14"/>
  <c r="F393" i="14"/>
  <c r="E393" i="14"/>
  <c r="D393" i="14"/>
  <c r="B393" i="14"/>
  <c r="F392" i="14"/>
  <c r="E392" i="14"/>
  <c r="D392" i="14"/>
  <c r="B392" i="14"/>
  <c r="F391" i="14"/>
  <c r="E391" i="14"/>
  <c r="D391" i="14"/>
  <c r="B391" i="14"/>
  <c r="F390" i="14"/>
  <c r="E390" i="14"/>
  <c r="D390" i="14"/>
  <c r="B390" i="14"/>
  <c r="F389" i="14"/>
  <c r="E389" i="14"/>
  <c r="D389" i="14"/>
  <c r="B389" i="14"/>
  <c r="F388" i="14"/>
  <c r="E388" i="14"/>
  <c r="D388" i="14"/>
  <c r="B388" i="14"/>
  <c r="F387" i="14"/>
  <c r="E387" i="14"/>
  <c r="D387" i="14"/>
  <c r="B387" i="14"/>
  <c r="F386" i="14"/>
  <c r="E386" i="14"/>
  <c r="D386" i="14"/>
  <c r="B386" i="14"/>
  <c r="F385" i="14"/>
  <c r="E385" i="14"/>
  <c r="D385" i="14"/>
  <c r="B385" i="14"/>
  <c r="F384" i="14"/>
  <c r="E384" i="14"/>
  <c r="D384" i="14"/>
  <c r="B384" i="14"/>
  <c r="F383" i="14"/>
  <c r="E383" i="14"/>
  <c r="D383" i="14"/>
  <c r="B383" i="14"/>
  <c r="F382" i="14"/>
  <c r="E382" i="14"/>
  <c r="D382" i="14"/>
  <c r="B382" i="14"/>
  <c r="F381" i="14"/>
  <c r="E381" i="14"/>
  <c r="D381" i="14"/>
  <c r="B381" i="14"/>
  <c r="F380" i="14"/>
  <c r="E380" i="14"/>
  <c r="D380" i="14"/>
  <c r="B380" i="14"/>
  <c r="F379" i="14"/>
  <c r="E379" i="14"/>
  <c r="D379" i="14"/>
  <c r="B379" i="14"/>
  <c r="F378" i="14"/>
  <c r="E378" i="14"/>
  <c r="D378" i="14"/>
  <c r="B378" i="14"/>
  <c r="F377" i="14"/>
  <c r="E377" i="14"/>
  <c r="D377" i="14"/>
  <c r="B377" i="14"/>
  <c r="F376" i="14"/>
  <c r="E376" i="14"/>
  <c r="D376" i="14"/>
  <c r="B376" i="14"/>
  <c r="F375" i="14"/>
  <c r="E375" i="14"/>
  <c r="D375" i="14"/>
  <c r="B375" i="14"/>
  <c r="F374" i="14"/>
  <c r="E374" i="14"/>
  <c r="D374" i="14"/>
  <c r="B374" i="14"/>
  <c r="F373" i="14"/>
  <c r="E373" i="14"/>
  <c r="D373" i="14"/>
  <c r="B373" i="14"/>
  <c r="F372" i="14"/>
  <c r="E372" i="14"/>
  <c r="D372" i="14"/>
  <c r="B372" i="14"/>
  <c r="F371" i="14"/>
  <c r="E371" i="14"/>
  <c r="D371" i="14"/>
  <c r="B371" i="14"/>
  <c r="F370" i="14"/>
  <c r="E370" i="14"/>
  <c r="D370" i="14"/>
  <c r="B370" i="14"/>
  <c r="F369" i="14"/>
  <c r="E369" i="14"/>
  <c r="D369" i="14"/>
  <c r="B369" i="14"/>
  <c r="F368" i="14"/>
  <c r="E368" i="14"/>
  <c r="D368" i="14"/>
  <c r="B368" i="14"/>
  <c r="F367" i="14"/>
  <c r="E367" i="14"/>
  <c r="D367" i="14"/>
  <c r="B367" i="14"/>
  <c r="F366" i="14"/>
  <c r="E366" i="14"/>
  <c r="D366" i="14"/>
  <c r="B366" i="14"/>
  <c r="F365" i="14"/>
  <c r="E365" i="14"/>
  <c r="D365" i="14"/>
  <c r="B365" i="14"/>
  <c r="F364" i="14"/>
  <c r="E364" i="14"/>
  <c r="D364" i="14"/>
  <c r="B364" i="14"/>
  <c r="F363" i="14"/>
  <c r="E363" i="14"/>
  <c r="D363" i="14"/>
  <c r="B363" i="14"/>
  <c r="F362" i="14"/>
  <c r="E362" i="14"/>
  <c r="D362" i="14"/>
  <c r="B362" i="14"/>
  <c r="F361" i="14"/>
  <c r="E361" i="14"/>
  <c r="D361" i="14"/>
  <c r="B361" i="14"/>
  <c r="F360" i="14"/>
  <c r="E360" i="14"/>
  <c r="D360" i="14"/>
  <c r="B360" i="14"/>
  <c r="F359" i="14"/>
  <c r="E359" i="14"/>
  <c r="D359" i="14"/>
  <c r="B359" i="14"/>
  <c r="F358" i="14"/>
  <c r="E358" i="14"/>
  <c r="D358" i="14"/>
  <c r="B358" i="14"/>
  <c r="F357" i="14"/>
  <c r="E357" i="14"/>
  <c r="D357" i="14"/>
  <c r="B357" i="14"/>
  <c r="F356" i="14"/>
  <c r="E356" i="14"/>
  <c r="D356" i="14"/>
  <c r="B356" i="14"/>
  <c r="F355" i="14"/>
  <c r="E355" i="14"/>
  <c r="D355" i="14"/>
  <c r="B355" i="14"/>
  <c r="F354" i="14"/>
  <c r="E354" i="14"/>
  <c r="D354" i="14"/>
  <c r="B354" i="14"/>
  <c r="F353" i="14"/>
  <c r="E353" i="14"/>
  <c r="D353" i="14"/>
  <c r="B353" i="14"/>
  <c r="F352" i="14"/>
  <c r="E352" i="14"/>
  <c r="D352" i="14"/>
  <c r="B352" i="14"/>
  <c r="F351" i="14"/>
  <c r="E351" i="14"/>
  <c r="D351" i="14"/>
  <c r="B351" i="14"/>
  <c r="F350" i="14"/>
  <c r="E350" i="14"/>
  <c r="D350" i="14"/>
  <c r="B350" i="14"/>
  <c r="F349" i="14"/>
  <c r="E349" i="14"/>
  <c r="D349" i="14"/>
  <c r="B349" i="14"/>
  <c r="F348" i="14"/>
  <c r="E348" i="14"/>
  <c r="D348" i="14"/>
  <c r="B348" i="14"/>
  <c r="F347" i="14"/>
  <c r="E347" i="14"/>
  <c r="D347" i="14"/>
  <c r="B347" i="14"/>
  <c r="F346" i="14"/>
  <c r="E346" i="14"/>
  <c r="D346" i="14"/>
  <c r="B346" i="14"/>
  <c r="F345" i="14"/>
  <c r="E345" i="14"/>
  <c r="D345" i="14"/>
  <c r="B345" i="14"/>
  <c r="F344" i="14"/>
  <c r="E344" i="14"/>
  <c r="D344" i="14"/>
  <c r="B344" i="14"/>
  <c r="F343" i="14"/>
  <c r="E343" i="14"/>
  <c r="D343" i="14"/>
  <c r="B343" i="14"/>
  <c r="F342" i="14"/>
  <c r="E342" i="14"/>
  <c r="D342" i="14"/>
  <c r="B342" i="14"/>
  <c r="F341" i="14"/>
  <c r="E341" i="14"/>
  <c r="D341" i="14"/>
  <c r="B341" i="14"/>
  <c r="F340" i="14"/>
  <c r="E340" i="14"/>
  <c r="D340" i="14"/>
  <c r="B340" i="14"/>
  <c r="F339" i="14"/>
  <c r="E339" i="14"/>
  <c r="D339" i="14"/>
  <c r="B339" i="14"/>
  <c r="F338" i="14"/>
  <c r="E338" i="14"/>
  <c r="D338" i="14"/>
  <c r="B338" i="14"/>
  <c r="F337" i="14"/>
  <c r="E337" i="14"/>
  <c r="D337" i="14"/>
  <c r="B337" i="14"/>
  <c r="F336" i="14"/>
  <c r="E336" i="14"/>
  <c r="D336" i="14"/>
  <c r="B336" i="14"/>
  <c r="F335" i="14"/>
  <c r="E335" i="14"/>
  <c r="D335" i="14"/>
  <c r="B335" i="14"/>
  <c r="F334" i="14"/>
  <c r="E334" i="14"/>
  <c r="D334" i="14"/>
  <c r="B334" i="14"/>
  <c r="F333" i="14"/>
  <c r="E333" i="14"/>
  <c r="D333" i="14"/>
  <c r="B333" i="14"/>
  <c r="F332" i="14"/>
  <c r="E332" i="14"/>
  <c r="D332" i="14"/>
  <c r="B332" i="14"/>
  <c r="F331" i="14"/>
  <c r="E331" i="14"/>
  <c r="D331" i="14"/>
  <c r="B331" i="14"/>
  <c r="F330" i="14"/>
  <c r="E330" i="14"/>
  <c r="D330" i="14"/>
  <c r="B330" i="14"/>
  <c r="F329" i="14"/>
  <c r="E329" i="14"/>
  <c r="D329" i="14"/>
  <c r="B329" i="14"/>
  <c r="F328" i="14"/>
  <c r="E328" i="14"/>
  <c r="D328" i="14"/>
  <c r="B328" i="14"/>
  <c r="F327" i="14"/>
  <c r="E327" i="14"/>
  <c r="D327" i="14"/>
  <c r="B327" i="14"/>
  <c r="F326" i="14"/>
  <c r="E326" i="14"/>
  <c r="D326" i="14"/>
  <c r="B326" i="14"/>
  <c r="F325" i="14"/>
  <c r="E325" i="14"/>
  <c r="D325" i="14"/>
  <c r="B325" i="14"/>
  <c r="F324" i="14"/>
  <c r="E324" i="14"/>
  <c r="D324" i="14"/>
  <c r="B324" i="14"/>
  <c r="F323" i="14"/>
  <c r="E323" i="14"/>
  <c r="D323" i="14"/>
  <c r="B323" i="14"/>
  <c r="F322" i="14"/>
  <c r="E322" i="14"/>
  <c r="D322" i="14"/>
  <c r="B322" i="14"/>
  <c r="F321" i="14"/>
  <c r="E321" i="14"/>
  <c r="D321" i="14"/>
  <c r="B321" i="14"/>
  <c r="F320" i="14"/>
  <c r="E320" i="14"/>
  <c r="D320" i="14"/>
  <c r="B320" i="14"/>
  <c r="F319" i="14"/>
  <c r="E319" i="14"/>
  <c r="D319" i="14"/>
  <c r="B319" i="14"/>
  <c r="F318" i="14"/>
  <c r="E318" i="14"/>
  <c r="D318" i="14"/>
  <c r="B318" i="14"/>
  <c r="F317" i="14"/>
  <c r="E317" i="14"/>
  <c r="D317" i="14"/>
  <c r="B317" i="14"/>
  <c r="F316" i="14"/>
  <c r="E316" i="14"/>
  <c r="D316" i="14"/>
  <c r="B316" i="14"/>
  <c r="F315" i="14"/>
  <c r="E315" i="14"/>
  <c r="D315" i="14"/>
  <c r="B315" i="14"/>
  <c r="F314" i="14"/>
  <c r="E314" i="14"/>
  <c r="D314" i="14"/>
  <c r="B314" i="14"/>
  <c r="F313" i="14"/>
  <c r="E313" i="14"/>
  <c r="D313" i="14"/>
  <c r="B313" i="14"/>
  <c r="F312" i="14"/>
  <c r="E312" i="14"/>
  <c r="D312" i="14"/>
  <c r="B312" i="14"/>
  <c r="F311" i="14"/>
  <c r="E311" i="14"/>
  <c r="D311" i="14"/>
  <c r="B311" i="14"/>
  <c r="F310" i="14"/>
  <c r="E310" i="14"/>
  <c r="D310" i="14"/>
  <c r="B310" i="14"/>
  <c r="F309" i="14"/>
  <c r="E309" i="14"/>
  <c r="D309" i="14"/>
  <c r="B309" i="14"/>
  <c r="F308" i="14"/>
  <c r="E308" i="14"/>
  <c r="D308" i="14"/>
  <c r="B308" i="14"/>
  <c r="F307" i="14"/>
  <c r="E307" i="14"/>
  <c r="D307" i="14"/>
  <c r="B307" i="14"/>
  <c r="F306" i="14"/>
  <c r="E306" i="14"/>
  <c r="D306" i="14"/>
  <c r="B306" i="14"/>
  <c r="F305" i="14"/>
  <c r="E305" i="14"/>
  <c r="D305" i="14"/>
  <c r="B305" i="14"/>
  <c r="F304" i="14"/>
  <c r="E304" i="14"/>
  <c r="D304" i="14"/>
  <c r="B304" i="14"/>
  <c r="F303" i="14"/>
  <c r="E303" i="14"/>
  <c r="D303" i="14"/>
  <c r="B303" i="14"/>
  <c r="F302" i="14"/>
  <c r="E302" i="14"/>
  <c r="D302" i="14"/>
  <c r="B302" i="14"/>
  <c r="F301" i="14"/>
  <c r="E301" i="14"/>
  <c r="D301" i="14"/>
  <c r="B301" i="14"/>
  <c r="F300" i="14"/>
  <c r="E300" i="14"/>
  <c r="D300" i="14"/>
  <c r="B300" i="14"/>
  <c r="F299" i="14"/>
  <c r="E299" i="14"/>
  <c r="D299" i="14"/>
  <c r="B299" i="14"/>
  <c r="F298" i="14"/>
  <c r="E298" i="14"/>
  <c r="D298" i="14"/>
  <c r="B298" i="14"/>
  <c r="F297" i="14"/>
  <c r="E297" i="14"/>
  <c r="D297" i="14"/>
  <c r="B297" i="14"/>
  <c r="F296" i="14"/>
  <c r="E296" i="14"/>
  <c r="D296" i="14"/>
  <c r="B296" i="14"/>
  <c r="F295" i="14"/>
  <c r="E295" i="14"/>
  <c r="D295" i="14"/>
  <c r="B295" i="14"/>
  <c r="F294" i="14"/>
  <c r="E294" i="14"/>
  <c r="D294" i="14"/>
  <c r="B294" i="14"/>
  <c r="F293" i="14"/>
  <c r="E293" i="14"/>
  <c r="D293" i="14"/>
  <c r="B293" i="14"/>
  <c r="F292" i="14"/>
  <c r="E292" i="14"/>
  <c r="D292" i="14"/>
  <c r="B292" i="14"/>
  <c r="F291" i="14"/>
  <c r="E291" i="14"/>
  <c r="D291" i="14"/>
  <c r="B291" i="14"/>
  <c r="F290" i="14"/>
  <c r="E290" i="14"/>
  <c r="D290" i="14"/>
  <c r="B290" i="14"/>
  <c r="F289" i="14"/>
  <c r="E289" i="14"/>
  <c r="D289" i="14"/>
  <c r="B289" i="14"/>
  <c r="F288" i="14"/>
  <c r="E288" i="14"/>
  <c r="D288" i="14"/>
  <c r="B288" i="14"/>
  <c r="F287" i="14"/>
  <c r="E287" i="14"/>
  <c r="D287" i="14"/>
  <c r="B287" i="14"/>
  <c r="F286" i="14"/>
  <c r="E286" i="14"/>
  <c r="D286" i="14"/>
  <c r="B286" i="14"/>
  <c r="F285" i="14"/>
  <c r="E285" i="14"/>
  <c r="D285" i="14"/>
  <c r="B285" i="14"/>
  <c r="F284" i="14"/>
  <c r="E284" i="14"/>
  <c r="D284" i="14"/>
  <c r="B284" i="14"/>
  <c r="F283" i="14"/>
  <c r="E283" i="14"/>
  <c r="D283" i="14"/>
  <c r="B283" i="14"/>
  <c r="F282" i="14"/>
  <c r="E282" i="14"/>
  <c r="D282" i="14"/>
  <c r="B282" i="14"/>
  <c r="F281" i="14"/>
  <c r="E281" i="14"/>
  <c r="D281" i="14"/>
  <c r="B281" i="14"/>
  <c r="F280" i="14"/>
  <c r="E280" i="14"/>
  <c r="D280" i="14"/>
  <c r="B280" i="14"/>
  <c r="F279" i="14"/>
  <c r="E279" i="14"/>
  <c r="D279" i="14"/>
  <c r="B279" i="14"/>
  <c r="F278" i="14"/>
  <c r="E278" i="14"/>
  <c r="D278" i="14"/>
  <c r="B278" i="14"/>
  <c r="F277" i="14"/>
  <c r="E277" i="14"/>
  <c r="D277" i="14"/>
  <c r="B277" i="14"/>
  <c r="F276" i="14"/>
  <c r="E276" i="14"/>
  <c r="D276" i="14"/>
  <c r="B276" i="14"/>
  <c r="F275" i="14"/>
  <c r="E275" i="14"/>
  <c r="D275" i="14"/>
  <c r="B275" i="14"/>
  <c r="F274" i="14"/>
  <c r="E274" i="14"/>
  <c r="D274" i="14"/>
  <c r="B274" i="14"/>
  <c r="F273" i="14"/>
  <c r="E273" i="14"/>
  <c r="D273" i="14"/>
  <c r="B273" i="14"/>
  <c r="F272" i="14"/>
  <c r="E272" i="14"/>
  <c r="D272" i="14"/>
  <c r="B272" i="14"/>
  <c r="F271" i="14"/>
  <c r="E271" i="14"/>
  <c r="D271" i="14"/>
  <c r="B271" i="14"/>
  <c r="F270" i="14"/>
  <c r="E270" i="14"/>
  <c r="D270" i="14"/>
  <c r="B270" i="14"/>
  <c r="F269" i="14"/>
  <c r="E269" i="14"/>
  <c r="D269" i="14"/>
  <c r="B269" i="14"/>
  <c r="F268" i="14"/>
  <c r="E268" i="14"/>
  <c r="D268" i="14"/>
  <c r="B268" i="14"/>
  <c r="F267" i="14"/>
  <c r="E267" i="14"/>
  <c r="D267" i="14"/>
  <c r="B267" i="14"/>
  <c r="F266" i="14"/>
  <c r="E266" i="14"/>
  <c r="D266" i="14"/>
  <c r="B266" i="14"/>
  <c r="F265" i="14"/>
  <c r="E265" i="14"/>
  <c r="D265" i="14"/>
  <c r="B265" i="14"/>
  <c r="F264" i="14"/>
  <c r="E264" i="14"/>
  <c r="D264" i="14"/>
  <c r="B264" i="14"/>
  <c r="F263" i="14"/>
  <c r="E263" i="14"/>
  <c r="D263" i="14"/>
  <c r="B263" i="14"/>
  <c r="F262" i="14"/>
  <c r="E262" i="14"/>
  <c r="D262" i="14"/>
  <c r="B262" i="14"/>
  <c r="F261" i="14"/>
  <c r="E261" i="14"/>
  <c r="D261" i="14"/>
  <c r="B261" i="14"/>
  <c r="F260" i="14"/>
  <c r="E260" i="14"/>
  <c r="D260" i="14"/>
  <c r="B260" i="14"/>
  <c r="F259" i="14"/>
  <c r="E259" i="14"/>
  <c r="D259" i="14"/>
  <c r="B259" i="14"/>
  <c r="F258" i="14"/>
  <c r="E258" i="14"/>
  <c r="D258" i="14"/>
  <c r="B258" i="14"/>
  <c r="F257" i="14"/>
  <c r="E257" i="14"/>
  <c r="D257" i="14"/>
  <c r="B257" i="14"/>
  <c r="F256" i="14"/>
  <c r="E256" i="14"/>
  <c r="D256" i="14"/>
  <c r="B256" i="14"/>
  <c r="F255" i="14"/>
  <c r="E255" i="14"/>
  <c r="D255" i="14"/>
  <c r="B255" i="14"/>
  <c r="F254" i="14"/>
  <c r="E254" i="14"/>
  <c r="D254" i="14"/>
  <c r="B254" i="14"/>
  <c r="F253" i="14"/>
  <c r="E253" i="14"/>
  <c r="D253" i="14"/>
  <c r="B253" i="14"/>
  <c r="F252" i="14"/>
  <c r="E252" i="14"/>
  <c r="D252" i="14"/>
  <c r="B252" i="14"/>
  <c r="F251" i="14"/>
  <c r="E251" i="14"/>
  <c r="D251" i="14"/>
  <c r="B251" i="14"/>
  <c r="F250" i="14"/>
  <c r="E250" i="14"/>
  <c r="D250" i="14"/>
  <c r="B250" i="14"/>
  <c r="F249" i="14"/>
  <c r="E249" i="14"/>
  <c r="D249" i="14"/>
  <c r="B249" i="14"/>
  <c r="F248" i="14"/>
  <c r="E248" i="14"/>
  <c r="D248" i="14"/>
  <c r="B248" i="14"/>
  <c r="F247" i="14"/>
  <c r="E247" i="14"/>
  <c r="D247" i="14"/>
  <c r="B247" i="14"/>
  <c r="F246" i="14"/>
  <c r="E246" i="14"/>
  <c r="D246" i="14"/>
  <c r="B246" i="14"/>
  <c r="F245" i="14"/>
  <c r="E245" i="14"/>
  <c r="D245" i="14"/>
  <c r="B245" i="14"/>
  <c r="F244" i="14"/>
  <c r="E244" i="14"/>
  <c r="D244" i="14"/>
  <c r="B244" i="14"/>
  <c r="F243" i="14"/>
  <c r="E243" i="14"/>
  <c r="D243" i="14"/>
  <c r="B243" i="14"/>
  <c r="F242" i="14"/>
  <c r="E242" i="14"/>
  <c r="D242" i="14"/>
  <c r="B242" i="14"/>
  <c r="F241" i="14"/>
  <c r="E241" i="14"/>
  <c r="D241" i="14"/>
  <c r="B241" i="14"/>
  <c r="F240" i="14"/>
  <c r="E240" i="14"/>
  <c r="D240" i="14"/>
  <c r="B240" i="14"/>
  <c r="F239" i="14"/>
  <c r="E239" i="14"/>
  <c r="D239" i="14"/>
  <c r="B239" i="14"/>
  <c r="F238" i="14"/>
  <c r="E238" i="14"/>
  <c r="D238" i="14"/>
  <c r="B238" i="14"/>
  <c r="F237" i="14"/>
  <c r="E237" i="14"/>
  <c r="D237" i="14"/>
  <c r="B237" i="14"/>
  <c r="F236" i="14"/>
  <c r="E236" i="14"/>
  <c r="D236" i="14"/>
  <c r="B236" i="14"/>
  <c r="F235" i="14"/>
  <c r="E235" i="14"/>
  <c r="D235" i="14"/>
  <c r="B235" i="14"/>
  <c r="F234" i="14"/>
  <c r="E234" i="14"/>
  <c r="D234" i="14"/>
  <c r="B234" i="14"/>
  <c r="F233" i="14"/>
  <c r="E233" i="14"/>
  <c r="D233" i="14"/>
  <c r="B233" i="14"/>
  <c r="F232" i="14"/>
  <c r="E232" i="14"/>
  <c r="D232" i="14"/>
  <c r="B232" i="14"/>
  <c r="F231" i="14"/>
  <c r="E231" i="14"/>
  <c r="D231" i="14"/>
  <c r="B231" i="14"/>
  <c r="F230" i="14"/>
  <c r="E230" i="14"/>
  <c r="D230" i="14"/>
  <c r="B230" i="14"/>
  <c r="F229" i="14"/>
  <c r="E229" i="14"/>
  <c r="D229" i="14"/>
  <c r="B229" i="14"/>
  <c r="F228" i="14"/>
  <c r="E228" i="14"/>
  <c r="D228" i="14"/>
  <c r="B228" i="14"/>
  <c r="F227" i="14"/>
  <c r="E227" i="14"/>
  <c r="D227" i="14"/>
  <c r="B227" i="14"/>
  <c r="F226" i="14"/>
  <c r="E226" i="14"/>
  <c r="D226" i="14"/>
  <c r="B226" i="14"/>
  <c r="F225" i="14"/>
  <c r="E225" i="14"/>
  <c r="D225" i="14"/>
  <c r="B225" i="14"/>
  <c r="F224" i="14"/>
  <c r="E224" i="14"/>
  <c r="D224" i="14"/>
  <c r="B224" i="14"/>
  <c r="F223" i="14"/>
  <c r="E223" i="14"/>
  <c r="D223" i="14"/>
  <c r="B223" i="14"/>
  <c r="F222" i="14"/>
  <c r="E222" i="14"/>
  <c r="D222" i="14"/>
  <c r="B222" i="14"/>
  <c r="F221" i="14"/>
  <c r="E221" i="14"/>
  <c r="D221" i="14"/>
  <c r="B221" i="14"/>
  <c r="F220" i="14"/>
  <c r="E220" i="14"/>
  <c r="D220" i="14"/>
  <c r="B220" i="14"/>
  <c r="F219" i="14"/>
  <c r="E219" i="14"/>
  <c r="D219" i="14"/>
  <c r="B219" i="14"/>
  <c r="F218" i="14"/>
  <c r="E218" i="14"/>
  <c r="D218" i="14"/>
  <c r="B218" i="14"/>
  <c r="F217" i="14"/>
  <c r="E217" i="14"/>
  <c r="D217" i="14"/>
  <c r="B217" i="14"/>
  <c r="F216" i="14"/>
  <c r="E216" i="14"/>
  <c r="D216" i="14"/>
  <c r="B216" i="14"/>
  <c r="F215" i="14"/>
  <c r="E215" i="14"/>
  <c r="D215" i="14"/>
  <c r="B215" i="14"/>
  <c r="F214" i="14"/>
  <c r="E214" i="14"/>
  <c r="D214" i="14"/>
  <c r="B214" i="14"/>
  <c r="F213" i="14"/>
  <c r="E213" i="14"/>
  <c r="D213" i="14"/>
  <c r="B213" i="14"/>
  <c r="F212" i="14"/>
  <c r="E212" i="14"/>
  <c r="D212" i="14"/>
  <c r="B212" i="14"/>
  <c r="F211" i="14"/>
  <c r="E211" i="14"/>
  <c r="D211" i="14"/>
  <c r="B211" i="14"/>
  <c r="F210" i="14"/>
  <c r="E210" i="14"/>
  <c r="D210" i="14"/>
  <c r="B210" i="14"/>
  <c r="F209" i="14"/>
  <c r="E209" i="14"/>
  <c r="D209" i="14"/>
  <c r="B209" i="14"/>
  <c r="F208" i="14"/>
  <c r="E208" i="14"/>
  <c r="D208" i="14"/>
  <c r="B208" i="14"/>
  <c r="F207" i="14"/>
  <c r="E207" i="14"/>
  <c r="D207" i="14"/>
  <c r="B207" i="14"/>
  <c r="F206" i="14"/>
  <c r="E206" i="14"/>
  <c r="D206" i="14"/>
  <c r="B206" i="14"/>
  <c r="F205" i="14"/>
  <c r="E205" i="14"/>
  <c r="D205" i="14"/>
  <c r="B205" i="14"/>
  <c r="F204" i="14"/>
  <c r="E204" i="14"/>
  <c r="D204" i="14"/>
  <c r="B204" i="14"/>
  <c r="F203" i="14"/>
  <c r="E203" i="14"/>
  <c r="D203" i="14"/>
  <c r="B203" i="14"/>
  <c r="F202" i="14"/>
  <c r="E202" i="14"/>
  <c r="D202" i="14"/>
  <c r="B202" i="14"/>
  <c r="F201" i="14"/>
  <c r="E201" i="14"/>
  <c r="D201" i="14"/>
  <c r="B201" i="14"/>
  <c r="F200" i="14"/>
  <c r="E200" i="14"/>
  <c r="D200" i="14"/>
  <c r="B200" i="14"/>
  <c r="F199" i="14"/>
  <c r="E199" i="14"/>
  <c r="D199" i="14"/>
  <c r="B199" i="14"/>
  <c r="F198" i="14"/>
  <c r="E198" i="14"/>
  <c r="D198" i="14"/>
  <c r="B198" i="14"/>
  <c r="F197" i="14"/>
  <c r="E197" i="14"/>
  <c r="D197" i="14"/>
  <c r="B197" i="14"/>
  <c r="F196" i="14"/>
  <c r="E196" i="14"/>
  <c r="D196" i="14"/>
  <c r="B196" i="14"/>
  <c r="F195" i="14"/>
  <c r="E195" i="14"/>
  <c r="D195" i="14"/>
  <c r="B195" i="14"/>
  <c r="F194" i="14"/>
  <c r="E194" i="14"/>
  <c r="D194" i="14"/>
  <c r="B194" i="14"/>
  <c r="F193" i="14"/>
  <c r="E193" i="14"/>
  <c r="D193" i="14"/>
  <c r="B193" i="14"/>
  <c r="F192" i="14"/>
  <c r="E192" i="14"/>
  <c r="D192" i="14"/>
  <c r="B192" i="14"/>
  <c r="F191" i="14"/>
  <c r="E191" i="14"/>
  <c r="D191" i="14"/>
  <c r="B191" i="14"/>
  <c r="F190" i="14"/>
  <c r="E190" i="14"/>
  <c r="D190" i="14"/>
  <c r="B190" i="14"/>
  <c r="F189" i="14"/>
  <c r="E189" i="14"/>
  <c r="D189" i="14"/>
  <c r="B189" i="14"/>
  <c r="F188" i="14"/>
  <c r="E188" i="14"/>
  <c r="D188" i="14"/>
  <c r="B188" i="14"/>
  <c r="F187" i="14"/>
  <c r="E187" i="14"/>
  <c r="D187" i="14"/>
  <c r="B187" i="14"/>
  <c r="F186" i="14"/>
  <c r="E186" i="14"/>
  <c r="D186" i="14"/>
  <c r="B186" i="14"/>
  <c r="F185" i="14"/>
  <c r="E185" i="14"/>
  <c r="D185" i="14"/>
  <c r="B185" i="14"/>
  <c r="F184" i="14"/>
  <c r="E184" i="14"/>
  <c r="D184" i="14"/>
  <c r="B184" i="14"/>
  <c r="F183" i="14"/>
  <c r="E183" i="14"/>
  <c r="D183" i="14"/>
  <c r="B183" i="14"/>
  <c r="F182" i="14"/>
  <c r="E182" i="14"/>
  <c r="D182" i="14"/>
  <c r="B182" i="14"/>
  <c r="F181" i="14"/>
  <c r="E181" i="14"/>
  <c r="D181" i="14"/>
  <c r="B181" i="14"/>
  <c r="F180" i="14"/>
  <c r="E180" i="14"/>
  <c r="D180" i="14"/>
  <c r="B180" i="14"/>
  <c r="F179" i="14"/>
  <c r="E179" i="14"/>
  <c r="D179" i="14"/>
  <c r="B179" i="14"/>
  <c r="F178" i="14"/>
  <c r="E178" i="14"/>
  <c r="D178" i="14"/>
  <c r="B178" i="14"/>
  <c r="F177" i="14"/>
  <c r="E177" i="14"/>
  <c r="D177" i="14"/>
  <c r="B177" i="14"/>
  <c r="F176" i="14"/>
  <c r="E176" i="14"/>
  <c r="D176" i="14"/>
  <c r="B176" i="14"/>
  <c r="F175" i="14"/>
  <c r="E175" i="14"/>
  <c r="D175" i="14"/>
  <c r="B175" i="14"/>
  <c r="F174" i="14"/>
  <c r="E174" i="14"/>
  <c r="D174" i="14"/>
  <c r="B174" i="14"/>
  <c r="F173" i="14"/>
  <c r="E173" i="14"/>
  <c r="D173" i="14"/>
  <c r="B173" i="14"/>
  <c r="F172" i="14"/>
  <c r="E172" i="14"/>
  <c r="D172" i="14"/>
  <c r="B172" i="14"/>
  <c r="F171" i="14"/>
  <c r="E171" i="14"/>
  <c r="D171" i="14"/>
  <c r="B171" i="14"/>
  <c r="F170" i="14"/>
  <c r="E170" i="14"/>
  <c r="D170" i="14"/>
  <c r="B170" i="14"/>
  <c r="F169" i="14"/>
  <c r="E169" i="14"/>
  <c r="D169" i="14"/>
  <c r="B169" i="14"/>
  <c r="F168" i="14"/>
  <c r="E168" i="14"/>
  <c r="D168" i="14"/>
  <c r="B168" i="14"/>
  <c r="F167" i="14"/>
  <c r="E167" i="14"/>
  <c r="D167" i="14"/>
  <c r="B167" i="14"/>
  <c r="F166" i="14"/>
  <c r="E166" i="14"/>
  <c r="D166" i="14"/>
  <c r="B166" i="14"/>
  <c r="F165" i="14"/>
  <c r="E165" i="14"/>
  <c r="D165" i="14"/>
  <c r="B165" i="14"/>
  <c r="F164" i="14"/>
  <c r="E164" i="14"/>
  <c r="D164" i="14"/>
  <c r="B164" i="14"/>
  <c r="F163" i="14"/>
  <c r="E163" i="14"/>
  <c r="D163" i="14"/>
  <c r="B163" i="14"/>
  <c r="F162" i="14"/>
  <c r="E162" i="14"/>
  <c r="D162" i="14"/>
  <c r="B162" i="14"/>
  <c r="F161" i="14"/>
  <c r="E161" i="14"/>
  <c r="D161" i="14"/>
  <c r="B161" i="14"/>
  <c r="F160" i="14"/>
  <c r="E160" i="14"/>
  <c r="D160" i="14"/>
  <c r="B160" i="14"/>
  <c r="F159" i="14"/>
  <c r="E159" i="14"/>
  <c r="D159" i="14"/>
  <c r="B159" i="14"/>
  <c r="F158" i="14"/>
  <c r="E158" i="14"/>
  <c r="D158" i="14"/>
  <c r="B158" i="14"/>
  <c r="F157" i="14"/>
  <c r="E157" i="14"/>
  <c r="D157" i="14"/>
  <c r="B157" i="14"/>
  <c r="F156" i="14"/>
  <c r="E156" i="14"/>
  <c r="D156" i="14"/>
  <c r="B156" i="14"/>
  <c r="F155" i="14"/>
  <c r="E155" i="14"/>
  <c r="D155" i="14"/>
  <c r="B155" i="14"/>
  <c r="F154" i="14"/>
  <c r="E154" i="14"/>
  <c r="D154" i="14"/>
  <c r="B154" i="14"/>
  <c r="F153" i="14"/>
  <c r="E153" i="14"/>
  <c r="D153" i="14"/>
  <c r="B153" i="14"/>
  <c r="F152" i="14"/>
  <c r="E152" i="14"/>
  <c r="D152" i="14"/>
  <c r="B152" i="14"/>
  <c r="F151" i="14"/>
  <c r="E151" i="14"/>
  <c r="D151" i="14"/>
  <c r="B151" i="14"/>
  <c r="F150" i="14"/>
  <c r="E150" i="14"/>
  <c r="D150" i="14"/>
  <c r="B150" i="14"/>
  <c r="F149" i="14"/>
  <c r="E149" i="14"/>
  <c r="D149" i="14"/>
  <c r="B149" i="14"/>
  <c r="F148" i="14"/>
  <c r="E148" i="14"/>
  <c r="D148" i="14"/>
  <c r="B148" i="14"/>
  <c r="F147" i="14"/>
  <c r="E147" i="14"/>
  <c r="D147" i="14"/>
  <c r="B147" i="14"/>
  <c r="F146" i="14"/>
  <c r="E146" i="14"/>
  <c r="D146" i="14"/>
  <c r="B146" i="14"/>
  <c r="F145" i="14"/>
  <c r="E145" i="14"/>
  <c r="D145" i="14"/>
  <c r="B145" i="14"/>
  <c r="F144" i="14"/>
  <c r="E144" i="14"/>
  <c r="D144" i="14"/>
  <c r="B144" i="14"/>
  <c r="F143" i="14"/>
  <c r="E143" i="14"/>
  <c r="D143" i="14"/>
  <c r="B143" i="14"/>
  <c r="F142" i="14"/>
  <c r="E142" i="14"/>
  <c r="D142" i="14"/>
  <c r="B142" i="14"/>
  <c r="F141" i="14"/>
  <c r="E141" i="14"/>
  <c r="D141" i="14"/>
  <c r="B141" i="14"/>
  <c r="F140" i="14"/>
  <c r="E140" i="14"/>
  <c r="D140" i="14"/>
  <c r="B140" i="14"/>
  <c r="F139" i="14"/>
  <c r="E139" i="14"/>
  <c r="D139" i="14"/>
  <c r="B139" i="14"/>
  <c r="F138" i="14"/>
  <c r="E138" i="14"/>
  <c r="D138" i="14"/>
  <c r="B138" i="14"/>
  <c r="F137" i="14"/>
  <c r="E137" i="14"/>
  <c r="D137" i="14"/>
  <c r="B137" i="14"/>
  <c r="F136" i="14"/>
  <c r="E136" i="14"/>
  <c r="D136" i="14"/>
  <c r="B136" i="14"/>
  <c r="F135" i="14"/>
  <c r="E135" i="14"/>
  <c r="D135" i="14"/>
  <c r="B135" i="14"/>
  <c r="F134" i="14"/>
  <c r="E134" i="14"/>
  <c r="D134" i="14"/>
  <c r="B134" i="14"/>
  <c r="F133" i="14"/>
  <c r="E133" i="14"/>
  <c r="D133" i="14"/>
  <c r="B133" i="14"/>
  <c r="F132" i="14"/>
  <c r="E132" i="14"/>
  <c r="D132" i="14"/>
  <c r="B132" i="14"/>
  <c r="F131" i="14"/>
  <c r="E131" i="14"/>
  <c r="D131" i="14"/>
  <c r="B131" i="14"/>
  <c r="F130" i="14"/>
  <c r="E130" i="14"/>
  <c r="D130" i="14"/>
  <c r="B130" i="14"/>
  <c r="F129" i="14"/>
  <c r="E129" i="14"/>
  <c r="D129" i="14"/>
  <c r="B129" i="14"/>
  <c r="F128" i="14"/>
  <c r="E128" i="14"/>
  <c r="D128" i="14"/>
  <c r="B128" i="14"/>
  <c r="F127" i="14"/>
  <c r="E127" i="14"/>
  <c r="D127" i="14"/>
  <c r="B127" i="14"/>
  <c r="F126" i="14"/>
  <c r="E126" i="14"/>
  <c r="D126" i="14"/>
  <c r="B126" i="14"/>
  <c r="F125" i="14"/>
  <c r="E125" i="14"/>
  <c r="D125" i="14"/>
  <c r="B125" i="14"/>
  <c r="F124" i="14"/>
  <c r="E124" i="14"/>
  <c r="D124" i="14"/>
  <c r="B124" i="14"/>
  <c r="F123" i="14"/>
  <c r="E123" i="14"/>
  <c r="D123" i="14"/>
  <c r="B123" i="14"/>
  <c r="F122" i="14"/>
  <c r="E122" i="14"/>
  <c r="D122" i="14"/>
  <c r="B122" i="14"/>
  <c r="F121" i="14"/>
  <c r="E121" i="14"/>
  <c r="D121" i="14"/>
  <c r="B121" i="14"/>
  <c r="F120" i="14"/>
  <c r="E120" i="14"/>
  <c r="D120" i="14"/>
  <c r="B120" i="14"/>
  <c r="F119" i="14"/>
  <c r="E119" i="14"/>
  <c r="D119" i="14"/>
  <c r="B119" i="14"/>
  <c r="F118" i="14"/>
  <c r="E118" i="14"/>
  <c r="D118" i="14"/>
  <c r="B118" i="14"/>
  <c r="F117" i="14"/>
  <c r="E117" i="14"/>
  <c r="D117" i="14"/>
  <c r="B117" i="14"/>
  <c r="F116" i="14"/>
  <c r="E116" i="14"/>
  <c r="D116" i="14"/>
  <c r="B116" i="14"/>
  <c r="F115" i="14"/>
  <c r="E115" i="14"/>
  <c r="D115" i="14"/>
  <c r="B115" i="14"/>
  <c r="F114" i="14"/>
  <c r="E114" i="14"/>
  <c r="D114" i="14"/>
  <c r="B114" i="14"/>
  <c r="F113" i="14"/>
  <c r="E113" i="14"/>
  <c r="D113" i="14"/>
  <c r="B113" i="14"/>
  <c r="F112" i="14"/>
  <c r="E112" i="14"/>
  <c r="D112" i="14"/>
  <c r="B112" i="14"/>
  <c r="F111" i="14"/>
  <c r="E111" i="14"/>
  <c r="D111" i="14"/>
  <c r="B111" i="14"/>
  <c r="F110" i="14"/>
  <c r="E110" i="14"/>
  <c r="D110" i="14"/>
  <c r="B110" i="14"/>
  <c r="F109" i="14"/>
  <c r="E109" i="14"/>
  <c r="D109" i="14"/>
  <c r="B109" i="14"/>
  <c r="F108" i="14"/>
  <c r="E108" i="14"/>
  <c r="D108" i="14"/>
  <c r="B108" i="14"/>
  <c r="F107" i="14"/>
  <c r="E107" i="14"/>
  <c r="D107" i="14"/>
  <c r="B107" i="14"/>
  <c r="F106" i="14"/>
  <c r="E106" i="14"/>
  <c r="D106" i="14"/>
  <c r="B106" i="14"/>
  <c r="F105" i="14"/>
  <c r="E105" i="14"/>
  <c r="D105" i="14"/>
  <c r="B105" i="14"/>
  <c r="F104" i="14"/>
  <c r="E104" i="14"/>
  <c r="D104" i="14"/>
  <c r="B104" i="14"/>
  <c r="F103" i="14"/>
  <c r="E103" i="14"/>
  <c r="D103" i="14"/>
  <c r="B103" i="14"/>
  <c r="F102" i="14"/>
  <c r="E102" i="14"/>
  <c r="D102" i="14"/>
  <c r="B102" i="14"/>
  <c r="F101" i="14"/>
  <c r="E101" i="14"/>
  <c r="D101" i="14"/>
  <c r="B101" i="14"/>
  <c r="F100" i="14"/>
  <c r="E100" i="14"/>
  <c r="D100" i="14"/>
  <c r="B100" i="14"/>
  <c r="F99" i="14"/>
  <c r="E99" i="14"/>
  <c r="D99" i="14"/>
  <c r="B99" i="14"/>
  <c r="F98" i="14"/>
  <c r="E98" i="14"/>
  <c r="D98" i="14"/>
  <c r="B98" i="14"/>
  <c r="F97" i="14"/>
  <c r="E97" i="14"/>
  <c r="D97" i="14"/>
  <c r="B97" i="14"/>
  <c r="F96" i="14"/>
  <c r="E96" i="14"/>
  <c r="D96" i="14"/>
  <c r="B96" i="14"/>
  <c r="F95" i="14"/>
  <c r="E95" i="14"/>
  <c r="D95" i="14"/>
  <c r="B95" i="14"/>
  <c r="F94" i="14"/>
  <c r="E94" i="14"/>
  <c r="D94" i="14"/>
  <c r="B94" i="14"/>
  <c r="F93" i="14"/>
  <c r="E93" i="14"/>
  <c r="D93" i="14"/>
  <c r="B93" i="14"/>
  <c r="F92" i="14"/>
  <c r="E92" i="14"/>
  <c r="D92" i="14"/>
  <c r="B92" i="14"/>
  <c r="F91" i="14"/>
  <c r="E91" i="14"/>
  <c r="D91" i="14"/>
  <c r="B91" i="14"/>
  <c r="F90" i="14"/>
  <c r="E90" i="14"/>
  <c r="D90" i="14"/>
  <c r="B90" i="14"/>
  <c r="F89" i="14"/>
  <c r="E89" i="14"/>
  <c r="D89" i="14"/>
  <c r="B89" i="14"/>
  <c r="F88" i="14"/>
  <c r="E88" i="14"/>
  <c r="D88" i="14"/>
  <c r="B88" i="14"/>
  <c r="F87" i="14"/>
  <c r="E87" i="14"/>
  <c r="D87" i="14"/>
  <c r="B87" i="14"/>
  <c r="F86" i="14"/>
  <c r="E86" i="14"/>
  <c r="D86" i="14"/>
  <c r="B86" i="14"/>
  <c r="F85" i="14"/>
  <c r="E85" i="14"/>
  <c r="D85" i="14"/>
  <c r="B85" i="14"/>
  <c r="F84" i="14"/>
  <c r="E84" i="14"/>
  <c r="D84" i="14"/>
  <c r="B84" i="14"/>
  <c r="F83" i="14"/>
  <c r="E83" i="14"/>
  <c r="D83" i="14"/>
  <c r="B83" i="14"/>
  <c r="F82" i="14"/>
  <c r="E82" i="14"/>
  <c r="D82" i="14"/>
  <c r="B82" i="14"/>
  <c r="F81" i="14"/>
  <c r="E81" i="14"/>
  <c r="D81" i="14"/>
  <c r="B81" i="14"/>
  <c r="F80" i="14"/>
  <c r="E80" i="14"/>
  <c r="D80" i="14"/>
  <c r="B80" i="14"/>
  <c r="F79" i="14"/>
  <c r="E79" i="14"/>
  <c r="D79" i="14"/>
  <c r="B79" i="14"/>
  <c r="F78" i="14"/>
  <c r="E78" i="14"/>
  <c r="D78" i="14"/>
  <c r="B78" i="14"/>
  <c r="F77" i="14"/>
  <c r="E77" i="14"/>
  <c r="D77" i="14"/>
  <c r="B77" i="14"/>
  <c r="F76" i="14"/>
  <c r="E76" i="14"/>
  <c r="D76" i="14"/>
  <c r="B76" i="14"/>
  <c r="F75" i="14"/>
  <c r="E75" i="14"/>
  <c r="D75" i="14"/>
  <c r="B75" i="14"/>
  <c r="F74" i="14"/>
  <c r="E74" i="14"/>
  <c r="D74" i="14"/>
  <c r="B74" i="14"/>
  <c r="F73" i="14"/>
  <c r="E73" i="14"/>
  <c r="D73" i="14"/>
  <c r="B73" i="14"/>
  <c r="F72" i="14"/>
  <c r="E72" i="14"/>
  <c r="D72" i="14"/>
  <c r="B72" i="14"/>
  <c r="F71" i="14"/>
  <c r="E71" i="14"/>
  <c r="D71" i="14"/>
  <c r="B71" i="14"/>
  <c r="F70" i="14"/>
  <c r="E70" i="14"/>
  <c r="D70" i="14"/>
  <c r="B70" i="14"/>
  <c r="F69" i="14"/>
  <c r="E69" i="14"/>
  <c r="D69" i="14"/>
  <c r="B69" i="14"/>
  <c r="F68" i="14"/>
  <c r="E68" i="14"/>
  <c r="D68" i="14"/>
  <c r="B68" i="14"/>
  <c r="F67" i="14"/>
  <c r="E67" i="14"/>
  <c r="D67" i="14"/>
  <c r="B67" i="14"/>
  <c r="F66" i="14"/>
  <c r="E66" i="14"/>
  <c r="D66" i="14"/>
  <c r="B66" i="14"/>
  <c r="F65" i="14"/>
  <c r="E65" i="14"/>
  <c r="D65" i="14"/>
  <c r="B65" i="14"/>
  <c r="F64" i="14"/>
  <c r="E64" i="14"/>
  <c r="D64" i="14"/>
  <c r="B64" i="14"/>
  <c r="F63" i="14"/>
  <c r="E63" i="14"/>
  <c r="D63" i="14"/>
  <c r="B63" i="14"/>
  <c r="F62" i="14"/>
  <c r="E62" i="14"/>
  <c r="D62" i="14"/>
  <c r="B62" i="14"/>
  <c r="F61" i="14"/>
  <c r="E61" i="14"/>
  <c r="D61" i="14"/>
  <c r="B61" i="14"/>
  <c r="F60" i="14"/>
  <c r="E60" i="14"/>
  <c r="D60" i="14"/>
  <c r="B60" i="14"/>
  <c r="F59" i="14"/>
  <c r="E59" i="14"/>
  <c r="D59" i="14"/>
  <c r="B59" i="14"/>
  <c r="F58" i="14"/>
  <c r="E58" i="14"/>
  <c r="D58" i="14"/>
  <c r="B58" i="14"/>
  <c r="F57" i="14"/>
  <c r="E57" i="14"/>
  <c r="D57" i="14"/>
  <c r="B57" i="14"/>
  <c r="F56" i="14"/>
  <c r="E56" i="14"/>
  <c r="D56" i="14"/>
  <c r="B56" i="14"/>
  <c r="F55" i="14"/>
  <c r="E55" i="14"/>
  <c r="D55" i="14"/>
  <c r="B55" i="14"/>
  <c r="F54" i="14"/>
  <c r="E54" i="14"/>
  <c r="D54" i="14"/>
  <c r="B54" i="14"/>
  <c r="F53" i="14"/>
  <c r="E53" i="14"/>
  <c r="D53" i="14"/>
  <c r="B53" i="14"/>
  <c r="F52" i="14"/>
  <c r="E52" i="14"/>
  <c r="D52" i="14"/>
  <c r="B52" i="14"/>
  <c r="F51" i="14"/>
  <c r="E51" i="14"/>
  <c r="D51" i="14"/>
  <c r="B51" i="14"/>
  <c r="F50" i="14"/>
  <c r="E50" i="14"/>
  <c r="D50" i="14"/>
  <c r="B50" i="14"/>
  <c r="F49" i="14"/>
  <c r="E49" i="14"/>
  <c r="D49" i="14"/>
  <c r="B49" i="14"/>
  <c r="F48" i="14"/>
  <c r="E48" i="14"/>
  <c r="D48" i="14"/>
  <c r="B48" i="14"/>
  <c r="F47" i="14"/>
  <c r="E47" i="14"/>
  <c r="D47" i="14"/>
  <c r="B47" i="14"/>
  <c r="F46" i="14"/>
  <c r="E46" i="14"/>
  <c r="D46" i="14"/>
  <c r="B46" i="14"/>
  <c r="F45" i="14"/>
  <c r="E45" i="14"/>
  <c r="D45" i="14"/>
  <c r="B45" i="14"/>
  <c r="F44" i="14"/>
  <c r="E44" i="14"/>
  <c r="D44" i="14"/>
  <c r="B44" i="14"/>
  <c r="F43" i="14"/>
  <c r="E43" i="14"/>
  <c r="D43" i="14"/>
  <c r="B43" i="14"/>
  <c r="F42" i="14"/>
  <c r="E42" i="14"/>
  <c r="D42" i="14"/>
  <c r="B42" i="14"/>
  <c r="F41" i="14"/>
  <c r="E41" i="14"/>
  <c r="D41" i="14"/>
  <c r="B41" i="14"/>
  <c r="F40" i="14"/>
  <c r="E40" i="14"/>
  <c r="D40" i="14"/>
  <c r="B40" i="14"/>
  <c r="F39" i="14"/>
  <c r="E39" i="14"/>
  <c r="D39" i="14"/>
  <c r="B39" i="14"/>
  <c r="F38" i="14"/>
  <c r="E38" i="14"/>
  <c r="D38" i="14"/>
  <c r="B38" i="14"/>
  <c r="F37" i="14"/>
  <c r="E37" i="14"/>
  <c r="D37" i="14"/>
  <c r="B37" i="14"/>
  <c r="F36" i="14"/>
  <c r="E36" i="14"/>
  <c r="D36" i="14"/>
  <c r="B36" i="14"/>
  <c r="F35" i="14"/>
  <c r="E35" i="14"/>
  <c r="D35" i="14"/>
  <c r="B35" i="14"/>
  <c r="F34" i="14"/>
  <c r="E34" i="14"/>
  <c r="D34" i="14"/>
  <c r="B34" i="14"/>
  <c r="F33" i="14"/>
  <c r="E33" i="14"/>
  <c r="D33" i="14"/>
  <c r="B33" i="14"/>
  <c r="F32" i="14"/>
  <c r="E32" i="14"/>
  <c r="D32" i="14"/>
  <c r="B32" i="14"/>
  <c r="F31" i="14"/>
  <c r="E31" i="14"/>
  <c r="D31" i="14"/>
  <c r="B31" i="14"/>
  <c r="F30" i="14"/>
  <c r="E30" i="14"/>
  <c r="D30" i="14"/>
  <c r="B30" i="14"/>
  <c r="F29" i="14"/>
  <c r="E29" i="14"/>
  <c r="D29" i="14"/>
  <c r="B29" i="14"/>
  <c r="F28" i="14"/>
  <c r="E28" i="14"/>
  <c r="D28" i="14"/>
  <c r="B28" i="14"/>
  <c r="F27" i="14"/>
  <c r="E27" i="14"/>
  <c r="D27" i="14"/>
  <c r="B27" i="14"/>
  <c r="F26" i="14"/>
  <c r="E26" i="14"/>
  <c r="D26" i="14"/>
  <c r="B26" i="14"/>
  <c r="F25" i="14"/>
  <c r="E25" i="14"/>
  <c r="D25" i="14"/>
  <c r="B25" i="14"/>
  <c r="F24" i="14"/>
  <c r="E24" i="14"/>
  <c r="D24" i="14"/>
  <c r="B24" i="14"/>
  <c r="F23" i="14"/>
  <c r="E23" i="14"/>
  <c r="D23" i="14"/>
  <c r="B23" i="14"/>
  <c r="F22" i="14"/>
  <c r="E22" i="14"/>
  <c r="D22" i="14"/>
  <c r="B22" i="14"/>
  <c r="F21" i="14"/>
  <c r="E21" i="14"/>
  <c r="D21" i="14"/>
  <c r="B21" i="14"/>
  <c r="F20" i="14"/>
  <c r="E20" i="14"/>
  <c r="D20" i="14"/>
  <c r="B20" i="14"/>
  <c r="I13" i="14"/>
  <c r="C19" i="13"/>
  <c r="C18" i="13"/>
  <c r="B14" i="13"/>
  <c r="B13" i="13"/>
  <c r="B17" i="12"/>
  <c r="C16" i="12"/>
  <c r="B16" i="12"/>
  <c r="C15" i="12"/>
  <c r="B15" i="12"/>
  <c r="C14" i="12"/>
  <c r="B14" i="12"/>
  <c r="C13" i="12"/>
  <c r="B13" i="12"/>
  <c r="D7" i="12"/>
  <c r="C18" i="11"/>
  <c r="B18" i="11"/>
  <c r="C17" i="11"/>
  <c r="B17" i="11"/>
  <c r="C16" i="11"/>
  <c r="B16" i="11"/>
  <c r="C15" i="11"/>
  <c r="B15" i="11"/>
  <c r="G14" i="11"/>
  <c r="F14" i="11"/>
  <c r="C14" i="11"/>
  <c r="B14" i="11"/>
  <c r="G13" i="11"/>
  <c r="F13" i="11"/>
  <c r="C13" i="11"/>
  <c r="B13" i="11"/>
  <c r="C511" i="9"/>
  <c r="B511" i="9"/>
  <c r="C510" i="9"/>
  <c r="B510" i="9"/>
  <c r="C509" i="9"/>
  <c r="B509" i="9"/>
  <c r="C508" i="9"/>
  <c r="B508" i="9"/>
  <c r="C507" i="9"/>
  <c r="B507" i="9"/>
  <c r="C506" i="9"/>
  <c r="B506" i="9"/>
  <c r="C505" i="9"/>
  <c r="B505" i="9"/>
  <c r="C504" i="9"/>
  <c r="B504" i="9"/>
  <c r="C503" i="9"/>
  <c r="B503" i="9"/>
  <c r="C502" i="9"/>
  <c r="B502" i="9"/>
  <c r="C501" i="9"/>
  <c r="B501" i="9"/>
  <c r="C500" i="9"/>
  <c r="B500" i="9"/>
  <c r="C499" i="9"/>
  <c r="B499" i="9"/>
  <c r="C498" i="9"/>
  <c r="B498" i="9"/>
  <c r="C497" i="9"/>
  <c r="B497" i="9"/>
  <c r="C496" i="9"/>
  <c r="B496" i="9"/>
  <c r="C495" i="9"/>
  <c r="B495" i="9"/>
  <c r="C494" i="9"/>
  <c r="B494" i="9"/>
  <c r="C493" i="9"/>
  <c r="B493" i="9"/>
  <c r="C492" i="9"/>
  <c r="B492" i="9"/>
  <c r="C491" i="9"/>
  <c r="B491" i="9"/>
  <c r="C490" i="9"/>
  <c r="B490" i="9"/>
  <c r="C489" i="9"/>
  <c r="B489" i="9"/>
  <c r="C488" i="9"/>
  <c r="B488" i="9"/>
  <c r="C487" i="9"/>
  <c r="B487" i="9"/>
  <c r="C486" i="9"/>
  <c r="B486" i="9"/>
  <c r="C485" i="9"/>
  <c r="B485" i="9"/>
  <c r="C484" i="9"/>
  <c r="B484" i="9"/>
  <c r="C483" i="9"/>
  <c r="B483" i="9"/>
  <c r="C482" i="9"/>
  <c r="B482" i="9"/>
  <c r="C481" i="9"/>
  <c r="B481" i="9"/>
  <c r="C480" i="9"/>
  <c r="B480" i="9"/>
  <c r="C479" i="9"/>
  <c r="B479" i="9"/>
  <c r="C478" i="9"/>
  <c r="B478" i="9"/>
  <c r="C477" i="9"/>
  <c r="B477" i="9"/>
  <c r="C476" i="9"/>
  <c r="B476" i="9"/>
  <c r="C475" i="9"/>
  <c r="B475" i="9"/>
  <c r="C474" i="9"/>
  <c r="B474" i="9"/>
  <c r="C473" i="9"/>
  <c r="B473" i="9"/>
  <c r="C472" i="9"/>
  <c r="B472" i="9"/>
  <c r="C471" i="9"/>
  <c r="B471" i="9"/>
  <c r="C470" i="9"/>
  <c r="B470" i="9"/>
  <c r="C469" i="9"/>
  <c r="B469" i="9"/>
  <c r="C468" i="9"/>
  <c r="B468" i="9"/>
  <c r="C467" i="9"/>
  <c r="B467" i="9"/>
  <c r="C466" i="9"/>
  <c r="B466" i="9"/>
  <c r="C465" i="9"/>
  <c r="B465" i="9"/>
  <c r="C464" i="9"/>
  <c r="B464" i="9"/>
  <c r="C463" i="9"/>
  <c r="B463" i="9"/>
  <c r="C462" i="9"/>
  <c r="B462" i="9"/>
  <c r="C461" i="9"/>
  <c r="B461" i="9"/>
  <c r="C460" i="9"/>
  <c r="B460" i="9"/>
  <c r="C459" i="9"/>
  <c r="B459" i="9"/>
  <c r="C458" i="9"/>
  <c r="B458" i="9"/>
  <c r="C457" i="9"/>
  <c r="B457" i="9"/>
  <c r="C456" i="9"/>
  <c r="B456" i="9"/>
  <c r="C455" i="9"/>
  <c r="B455" i="9"/>
  <c r="C454" i="9"/>
  <c r="B454" i="9"/>
  <c r="C453" i="9"/>
  <c r="B453" i="9"/>
  <c r="C452" i="9"/>
  <c r="B452" i="9"/>
  <c r="C451" i="9"/>
  <c r="B451" i="9"/>
  <c r="C450" i="9"/>
  <c r="B450" i="9"/>
  <c r="C449" i="9"/>
  <c r="B449" i="9"/>
  <c r="C448" i="9"/>
  <c r="B448" i="9"/>
  <c r="C447" i="9"/>
  <c r="B447" i="9"/>
  <c r="C446" i="9"/>
  <c r="B446" i="9"/>
  <c r="C445" i="9"/>
  <c r="B445" i="9"/>
  <c r="C444" i="9"/>
  <c r="B444" i="9"/>
  <c r="C443" i="9"/>
  <c r="B443" i="9"/>
  <c r="C442" i="9"/>
  <c r="B442" i="9"/>
  <c r="C441" i="9"/>
  <c r="B441" i="9"/>
  <c r="C440" i="9"/>
  <c r="B440" i="9"/>
  <c r="C439" i="9"/>
  <c r="B439" i="9"/>
  <c r="C438" i="9"/>
  <c r="B438" i="9"/>
  <c r="C437" i="9"/>
  <c r="B437" i="9"/>
  <c r="C436" i="9"/>
  <c r="B436" i="9"/>
  <c r="C435" i="9"/>
  <c r="B435" i="9"/>
  <c r="C434" i="9"/>
  <c r="B434" i="9"/>
  <c r="C433" i="9"/>
  <c r="B433" i="9"/>
  <c r="C432" i="9"/>
  <c r="B432" i="9"/>
  <c r="C431" i="9"/>
  <c r="B431" i="9"/>
  <c r="C430" i="9"/>
  <c r="B430" i="9"/>
  <c r="C429" i="9"/>
  <c r="B429" i="9"/>
  <c r="C428" i="9"/>
  <c r="B428" i="9"/>
  <c r="C427" i="9"/>
  <c r="B427" i="9"/>
  <c r="C426" i="9"/>
  <c r="B426" i="9"/>
  <c r="C425" i="9"/>
  <c r="B425" i="9"/>
  <c r="C424" i="9"/>
  <c r="B424" i="9"/>
  <c r="C423" i="9"/>
  <c r="B423" i="9"/>
  <c r="C422" i="9"/>
  <c r="B422" i="9"/>
  <c r="C421" i="9"/>
  <c r="B421" i="9"/>
  <c r="C420" i="9"/>
  <c r="B420" i="9"/>
  <c r="C419" i="9"/>
  <c r="B419" i="9"/>
  <c r="C418" i="9"/>
  <c r="B418" i="9"/>
  <c r="C417" i="9"/>
  <c r="B417" i="9"/>
  <c r="C416" i="9"/>
  <c r="B416" i="9"/>
  <c r="C415" i="9"/>
  <c r="B415" i="9"/>
  <c r="C414" i="9"/>
  <c r="B414" i="9"/>
  <c r="C413" i="9"/>
  <c r="B413" i="9"/>
  <c r="C412" i="9"/>
  <c r="B412" i="9"/>
  <c r="C411" i="9"/>
  <c r="B411" i="9"/>
  <c r="C410" i="9"/>
  <c r="B410" i="9"/>
  <c r="C409" i="9"/>
  <c r="B409" i="9"/>
  <c r="C408" i="9"/>
  <c r="B408" i="9"/>
  <c r="C407" i="9"/>
  <c r="B407" i="9"/>
  <c r="C406" i="9"/>
  <c r="B406" i="9"/>
  <c r="C405" i="9"/>
  <c r="B405" i="9"/>
  <c r="C404" i="9"/>
  <c r="B404" i="9"/>
  <c r="C403" i="9"/>
  <c r="B403" i="9"/>
  <c r="C402" i="9"/>
  <c r="B402" i="9"/>
  <c r="C401" i="9"/>
  <c r="B401" i="9"/>
  <c r="C400" i="9"/>
  <c r="B400" i="9"/>
  <c r="C399" i="9"/>
  <c r="B399" i="9"/>
  <c r="C398" i="9"/>
  <c r="B398" i="9"/>
  <c r="C397" i="9"/>
  <c r="B397" i="9"/>
  <c r="C396" i="9"/>
  <c r="B396" i="9"/>
  <c r="C395" i="9"/>
  <c r="B395" i="9"/>
  <c r="C394" i="9"/>
  <c r="B394" i="9"/>
  <c r="C393" i="9"/>
  <c r="B393" i="9"/>
  <c r="C392" i="9"/>
  <c r="B392" i="9"/>
  <c r="C391" i="9"/>
  <c r="B391" i="9"/>
  <c r="C390" i="9"/>
  <c r="B390" i="9"/>
  <c r="C389" i="9"/>
  <c r="B389" i="9"/>
  <c r="C388" i="9"/>
  <c r="B388" i="9"/>
  <c r="C387" i="9"/>
  <c r="B387" i="9"/>
  <c r="C386" i="9"/>
  <c r="B386" i="9"/>
  <c r="C385" i="9"/>
  <c r="B385" i="9"/>
  <c r="C384" i="9"/>
  <c r="B384" i="9"/>
  <c r="C383" i="9"/>
  <c r="B383" i="9"/>
  <c r="C382" i="9"/>
  <c r="B382" i="9"/>
  <c r="C381" i="9"/>
  <c r="B381" i="9"/>
  <c r="C380" i="9"/>
  <c r="B380" i="9"/>
  <c r="C379" i="9"/>
  <c r="B379" i="9"/>
  <c r="C378" i="9"/>
  <c r="B378" i="9"/>
  <c r="C377" i="9"/>
  <c r="B377" i="9"/>
  <c r="C376" i="9"/>
  <c r="B376" i="9"/>
  <c r="C375" i="9"/>
  <c r="B375" i="9"/>
  <c r="C374" i="9"/>
  <c r="B374" i="9"/>
  <c r="C373" i="9"/>
  <c r="B373" i="9"/>
  <c r="C372" i="9"/>
  <c r="B372" i="9"/>
  <c r="C371" i="9"/>
  <c r="B371" i="9"/>
  <c r="C370" i="9"/>
  <c r="B370" i="9"/>
  <c r="C369" i="9"/>
  <c r="B369" i="9"/>
  <c r="C368" i="9"/>
  <c r="B368" i="9"/>
  <c r="C367" i="9"/>
  <c r="B367" i="9"/>
  <c r="C366" i="9"/>
  <c r="B366" i="9"/>
  <c r="C365" i="9"/>
  <c r="B365" i="9"/>
  <c r="C364" i="9"/>
  <c r="B364" i="9"/>
  <c r="C363" i="9"/>
  <c r="B363" i="9"/>
  <c r="C362" i="9"/>
  <c r="B362" i="9"/>
  <c r="C361" i="9"/>
  <c r="B361" i="9"/>
  <c r="C360" i="9"/>
  <c r="B360" i="9"/>
  <c r="C359" i="9"/>
  <c r="B359" i="9"/>
  <c r="C358" i="9"/>
  <c r="B358" i="9"/>
  <c r="C357" i="9"/>
  <c r="B357" i="9"/>
  <c r="C356" i="9"/>
  <c r="B356" i="9"/>
  <c r="C355" i="9"/>
  <c r="B355" i="9"/>
  <c r="C354" i="9"/>
  <c r="B354" i="9"/>
  <c r="C353" i="9"/>
  <c r="B353" i="9"/>
  <c r="C352" i="9"/>
  <c r="B352" i="9"/>
  <c r="C351" i="9"/>
  <c r="B351" i="9"/>
  <c r="C350" i="9"/>
  <c r="B350" i="9"/>
  <c r="C349" i="9"/>
  <c r="B349" i="9"/>
  <c r="C348" i="9"/>
  <c r="B348" i="9"/>
  <c r="C347" i="9"/>
  <c r="B347" i="9"/>
  <c r="C346" i="9"/>
  <c r="B346" i="9"/>
  <c r="C345" i="9"/>
  <c r="B345" i="9"/>
  <c r="C344" i="9"/>
  <c r="B344" i="9"/>
  <c r="C343" i="9"/>
  <c r="B343" i="9"/>
  <c r="C342" i="9"/>
  <c r="B342" i="9"/>
  <c r="C341" i="9"/>
  <c r="B341" i="9"/>
  <c r="C340" i="9"/>
  <c r="B340" i="9"/>
  <c r="C339" i="9"/>
  <c r="B339" i="9"/>
  <c r="C338" i="9"/>
  <c r="B338" i="9"/>
  <c r="C337" i="9"/>
  <c r="B337" i="9"/>
  <c r="C336" i="9"/>
  <c r="B336" i="9"/>
  <c r="C335" i="9"/>
  <c r="B335" i="9"/>
  <c r="C334" i="9"/>
  <c r="B334" i="9"/>
  <c r="C333" i="9"/>
  <c r="B333" i="9"/>
  <c r="C332" i="9"/>
  <c r="B332" i="9"/>
  <c r="C331" i="9"/>
  <c r="B331" i="9"/>
  <c r="C330" i="9"/>
  <c r="B330" i="9"/>
  <c r="C329" i="9"/>
  <c r="B329" i="9"/>
  <c r="C328" i="9"/>
  <c r="B328" i="9"/>
  <c r="C327" i="9"/>
  <c r="B327" i="9"/>
  <c r="C326" i="9"/>
  <c r="B326" i="9"/>
  <c r="C325" i="9"/>
  <c r="B325" i="9"/>
  <c r="C324" i="9"/>
  <c r="B324" i="9"/>
  <c r="C323" i="9"/>
  <c r="B323" i="9"/>
  <c r="C322" i="9"/>
  <c r="B322" i="9"/>
  <c r="C321" i="9"/>
  <c r="B321" i="9"/>
  <c r="C320" i="9"/>
  <c r="B320" i="9"/>
  <c r="C319" i="9"/>
  <c r="B319" i="9"/>
  <c r="C318" i="9"/>
  <c r="B318" i="9"/>
  <c r="C317" i="9"/>
  <c r="B317" i="9"/>
  <c r="C316" i="9"/>
  <c r="B316" i="9"/>
  <c r="C315" i="9"/>
  <c r="B315" i="9"/>
  <c r="C314" i="9"/>
  <c r="B314" i="9"/>
  <c r="C313" i="9"/>
  <c r="B313" i="9"/>
  <c r="C312" i="9"/>
  <c r="B312" i="9"/>
  <c r="C311" i="9"/>
  <c r="B311" i="9"/>
  <c r="C310" i="9"/>
  <c r="B310" i="9"/>
  <c r="C309" i="9"/>
  <c r="B309" i="9"/>
  <c r="C308" i="9"/>
  <c r="B308" i="9"/>
  <c r="C307" i="9"/>
  <c r="B307" i="9"/>
  <c r="C306" i="9"/>
  <c r="B306" i="9"/>
  <c r="C305" i="9"/>
  <c r="B305" i="9"/>
  <c r="C304" i="9"/>
  <c r="B304" i="9"/>
  <c r="C303" i="9"/>
  <c r="B303" i="9"/>
  <c r="C302" i="9"/>
  <c r="B302" i="9"/>
  <c r="C301" i="9"/>
  <c r="B301" i="9"/>
  <c r="C300" i="9"/>
  <c r="B300" i="9"/>
  <c r="C299" i="9"/>
  <c r="B299" i="9"/>
  <c r="C298" i="9"/>
  <c r="B298" i="9"/>
  <c r="C297" i="9"/>
  <c r="B297" i="9"/>
  <c r="C296" i="9"/>
  <c r="B296" i="9"/>
  <c r="C295" i="9"/>
  <c r="B295" i="9"/>
  <c r="C294" i="9"/>
  <c r="B294" i="9"/>
  <c r="C293" i="9"/>
  <c r="B293" i="9"/>
  <c r="C292" i="9"/>
  <c r="B292" i="9"/>
  <c r="C291" i="9"/>
  <c r="B291" i="9"/>
  <c r="C290" i="9"/>
  <c r="B290" i="9"/>
  <c r="C289" i="9"/>
  <c r="B289" i="9"/>
  <c r="C288" i="9"/>
  <c r="B288" i="9"/>
  <c r="C287" i="9"/>
  <c r="B287" i="9"/>
  <c r="C286" i="9"/>
  <c r="B286" i="9"/>
  <c r="C285" i="9"/>
  <c r="B285" i="9"/>
  <c r="C284" i="9"/>
  <c r="B284" i="9"/>
  <c r="C283" i="9"/>
  <c r="B283" i="9"/>
  <c r="C282" i="9"/>
  <c r="B282" i="9"/>
  <c r="C281" i="9"/>
  <c r="B281" i="9"/>
  <c r="C280" i="9"/>
  <c r="B280" i="9"/>
  <c r="C279" i="9"/>
  <c r="B279" i="9"/>
  <c r="C278" i="9"/>
  <c r="B278" i="9"/>
  <c r="C277" i="9"/>
  <c r="B277" i="9"/>
  <c r="C276" i="9"/>
  <c r="B276" i="9"/>
  <c r="C275" i="9"/>
  <c r="B275" i="9"/>
  <c r="C274" i="9"/>
  <c r="B274" i="9"/>
  <c r="C273" i="9"/>
  <c r="B273" i="9"/>
  <c r="C272" i="9"/>
  <c r="B272" i="9"/>
  <c r="C271" i="9"/>
  <c r="B271" i="9"/>
  <c r="C270" i="9"/>
  <c r="B270" i="9"/>
  <c r="C269" i="9"/>
  <c r="B269" i="9"/>
  <c r="C268" i="9"/>
  <c r="B268" i="9"/>
  <c r="C267" i="9"/>
  <c r="B267" i="9"/>
  <c r="C266" i="9"/>
  <c r="B266" i="9"/>
  <c r="C265" i="9"/>
  <c r="B265" i="9"/>
  <c r="C264" i="9"/>
  <c r="B264" i="9"/>
  <c r="C263" i="9"/>
  <c r="B263" i="9"/>
  <c r="C262" i="9"/>
  <c r="B262" i="9"/>
  <c r="C261" i="9"/>
  <c r="B261" i="9"/>
  <c r="C260" i="9"/>
  <c r="B260" i="9"/>
  <c r="C259" i="9"/>
  <c r="B259" i="9"/>
  <c r="C258" i="9"/>
  <c r="B258" i="9"/>
  <c r="C257" i="9"/>
  <c r="B257" i="9"/>
  <c r="C256" i="9"/>
  <c r="B256" i="9"/>
  <c r="C255" i="9"/>
  <c r="B255" i="9"/>
  <c r="C254" i="9"/>
  <c r="B254" i="9"/>
  <c r="C253" i="9"/>
  <c r="B253" i="9"/>
  <c r="C252" i="9"/>
  <c r="B252" i="9"/>
  <c r="C251" i="9"/>
  <c r="B251" i="9"/>
  <c r="C250" i="9"/>
  <c r="B250" i="9"/>
  <c r="C249" i="9"/>
  <c r="B249" i="9"/>
  <c r="C248" i="9"/>
  <c r="B248" i="9"/>
  <c r="C247" i="9"/>
  <c r="B247" i="9"/>
  <c r="C246" i="9"/>
  <c r="B246" i="9"/>
  <c r="C245" i="9"/>
  <c r="B245" i="9"/>
  <c r="C244" i="9"/>
  <c r="B244" i="9"/>
  <c r="C243" i="9"/>
  <c r="B243" i="9"/>
  <c r="C242" i="9"/>
  <c r="B242" i="9"/>
  <c r="C241" i="9"/>
  <c r="B241" i="9"/>
  <c r="C240" i="9"/>
  <c r="B240" i="9"/>
  <c r="C239" i="9"/>
  <c r="B239" i="9"/>
  <c r="C238" i="9"/>
  <c r="B238" i="9"/>
  <c r="C237" i="9"/>
  <c r="B237" i="9"/>
  <c r="C236" i="9"/>
  <c r="B236" i="9"/>
  <c r="C235" i="9"/>
  <c r="B235" i="9"/>
  <c r="C234" i="9"/>
  <c r="B234" i="9"/>
  <c r="C233" i="9"/>
  <c r="B233" i="9"/>
  <c r="C232" i="9"/>
  <c r="B232" i="9"/>
  <c r="C231" i="9"/>
  <c r="B231" i="9"/>
  <c r="C230" i="9"/>
  <c r="B230" i="9"/>
  <c r="C229" i="9"/>
  <c r="B229" i="9"/>
  <c r="C228" i="9"/>
  <c r="B228" i="9"/>
  <c r="C227" i="9"/>
  <c r="B227" i="9"/>
  <c r="C226" i="9"/>
  <c r="B226" i="9"/>
  <c r="C225" i="9"/>
  <c r="B225" i="9"/>
  <c r="C224" i="9"/>
  <c r="B224" i="9"/>
  <c r="C223" i="9"/>
  <c r="B223" i="9"/>
  <c r="C222" i="9"/>
  <c r="B222" i="9"/>
  <c r="C221" i="9"/>
  <c r="B221" i="9"/>
  <c r="C220" i="9"/>
  <c r="B220" i="9"/>
  <c r="C219" i="9"/>
  <c r="B219" i="9"/>
  <c r="C218" i="9"/>
  <c r="B218" i="9"/>
  <c r="C217" i="9"/>
  <c r="B217" i="9"/>
  <c r="C216" i="9"/>
  <c r="B216" i="9"/>
  <c r="C215" i="9"/>
  <c r="B215" i="9"/>
  <c r="C214" i="9"/>
  <c r="B214" i="9"/>
  <c r="C213" i="9"/>
  <c r="B213" i="9"/>
  <c r="C212" i="9"/>
  <c r="B212" i="9"/>
  <c r="C211" i="9"/>
  <c r="B211" i="9"/>
  <c r="C210" i="9"/>
  <c r="B210" i="9"/>
  <c r="C209" i="9"/>
  <c r="B209" i="9"/>
  <c r="C208" i="9"/>
  <c r="B208" i="9"/>
  <c r="C207" i="9"/>
  <c r="B207" i="9"/>
  <c r="C206" i="9"/>
  <c r="B206" i="9"/>
  <c r="C205" i="9"/>
  <c r="B205" i="9"/>
  <c r="C204" i="9"/>
  <c r="B204" i="9"/>
  <c r="C203" i="9"/>
  <c r="B203" i="9"/>
  <c r="C202" i="9"/>
  <c r="B202" i="9"/>
  <c r="C201" i="9"/>
  <c r="B201" i="9"/>
  <c r="C200" i="9"/>
  <c r="B200" i="9"/>
  <c r="C199" i="9"/>
  <c r="B199" i="9"/>
  <c r="C198" i="9"/>
  <c r="B198" i="9"/>
  <c r="C197" i="9"/>
  <c r="B197" i="9"/>
  <c r="C196" i="9"/>
  <c r="B196" i="9"/>
  <c r="C195" i="9"/>
  <c r="B195" i="9"/>
  <c r="C194" i="9"/>
  <c r="B194" i="9"/>
  <c r="C193" i="9"/>
  <c r="B193" i="9"/>
  <c r="C192" i="9"/>
  <c r="B192" i="9"/>
  <c r="C191" i="9"/>
  <c r="B191" i="9"/>
  <c r="C190" i="9"/>
  <c r="B190" i="9"/>
  <c r="C189" i="9"/>
  <c r="B189" i="9"/>
  <c r="C188" i="9"/>
  <c r="B188" i="9"/>
  <c r="C187" i="9"/>
  <c r="B187" i="9"/>
  <c r="C186" i="9"/>
  <c r="B186" i="9"/>
  <c r="C185" i="9"/>
  <c r="B185" i="9"/>
  <c r="C184" i="9"/>
  <c r="B184" i="9"/>
  <c r="C183" i="9"/>
  <c r="B183" i="9"/>
  <c r="C182" i="9"/>
  <c r="B182" i="9"/>
  <c r="C181" i="9"/>
  <c r="B181" i="9"/>
  <c r="C180" i="9"/>
  <c r="B180" i="9"/>
  <c r="C179" i="9"/>
  <c r="B179" i="9"/>
  <c r="C178" i="9"/>
  <c r="B178" i="9"/>
  <c r="C177" i="9"/>
  <c r="B177" i="9"/>
  <c r="C176" i="9"/>
  <c r="B176" i="9"/>
  <c r="C175" i="9"/>
  <c r="B175" i="9"/>
  <c r="C174" i="9"/>
  <c r="B174" i="9"/>
  <c r="C173" i="9"/>
  <c r="B173" i="9"/>
  <c r="C172" i="9"/>
  <c r="B172" i="9"/>
  <c r="C171" i="9"/>
  <c r="B171" i="9"/>
  <c r="C170" i="9"/>
  <c r="B170" i="9"/>
  <c r="C169" i="9"/>
  <c r="B169" i="9"/>
  <c r="C168" i="9"/>
  <c r="B168" i="9"/>
  <c r="C167" i="9"/>
  <c r="B167" i="9"/>
  <c r="C166" i="9"/>
  <c r="B166" i="9"/>
  <c r="C165" i="9"/>
  <c r="B165" i="9"/>
  <c r="C164" i="9"/>
  <c r="B164" i="9"/>
  <c r="C163" i="9"/>
  <c r="B163" i="9"/>
  <c r="C162" i="9"/>
  <c r="B162" i="9"/>
  <c r="C161" i="9"/>
  <c r="B161" i="9"/>
  <c r="C160" i="9"/>
  <c r="B160" i="9"/>
  <c r="C159" i="9"/>
  <c r="B159" i="9"/>
  <c r="C158" i="9"/>
  <c r="B158" i="9"/>
  <c r="C157" i="9"/>
  <c r="B157" i="9"/>
  <c r="C156" i="9"/>
  <c r="B156" i="9"/>
  <c r="C155" i="9"/>
  <c r="B155" i="9"/>
  <c r="C154" i="9"/>
  <c r="B154" i="9"/>
  <c r="C153" i="9"/>
  <c r="B153" i="9"/>
  <c r="C152" i="9"/>
  <c r="B152" i="9"/>
  <c r="C151" i="9"/>
  <c r="B151" i="9"/>
  <c r="C150" i="9"/>
  <c r="B150" i="9"/>
  <c r="C149" i="9"/>
  <c r="B149" i="9"/>
  <c r="C148" i="9"/>
  <c r="B148" i="9"/>
  <c r="C147" i="9"/>
  <c r="B147" i="9"/>
  <c r="C146" i="9"/>
  <c r="B146" i="9"/>
  <c r="C145" i="9"/>
  <c r="B145" i="9"/>
  <c r="C144" i="9"/>
  <c r="B144" i="9"/>
  <c r="C143" i="9"/>
  <c r="B143" i="9"/>
  <c r="C142" i="9"/>
  <c r="B142" i="9"/>
  <c r="C141" i="9"/>
  <c r="B141" i="9"/>
  <c r="C140" i="9"/>
  <c r="B140" i="9"/>
  <c r="C139" i="9"/>
  <c r="B139" i="9"/>
  <c r="C138" i="9"/>
  <c r="B138" i="9"/>
  <c r="C137" i="9"/>
  <c r="B137" i="9"/>
  <c r="C136" i="9"/>
  <c r="B136" i="9"/>
  <c r="C135" i="9"/>
  <c r="B135" i="9"/>
  <c r="C134" i="9"/>
  <c r="B134" i="9"/>
  <c r="C133" i="9"/>
  <c r="B133" i="9"/>
  <c r="C132" i="9"/>
  <c r="B132" i="9"/>
  <c r="C131" i="9"/>
  <c r="B131" i="9"/>
  <c r="C130" i="9"/>
  <c r="B130" i="9"/>
  <c r="C129" i="9"/>
  <c r="B129" i="9"/>
  <c r="C128" i="9"/>
  <c r="B128" i="9"/>
  <c r="C127" i="9"/>
  <c r="B127" i="9"/>
  <c r="C126" i="9"/>
  <c r="B126" i="9"/>
  <c r="C125" i="9"/>
  <c r="B125" i="9"/>
  <c r="C124" i="9"/>
  <c r="B124" i="9"/>
  <c r="C123" i="9"/>
  <c r="B123" i="9"/>
  <c r="C122" i="9"/>
  <c r="B122" i="9"/>
  <c r="C121" i="9"/>
  <c r="B121" i="9"/>
  <c r="C120" i="9"/>
  <c r="B120" i="9"/>
  <c r="C119" i="9"/>
  <c r="B119" i="9"/>
  <c r="C118" i="9"/>
  <c r="B118" i="9"/>
  <c r="C117" i="9"/>
  <c r="B117" i="9"/>
  <c r="C116" i="9"/>
  <c r="B116" i="9"/>
  <c r="C115" i="9"/>
  <c r="B115" i="9"/>
  <c r="C114" i="9"/>
  <c r="B114" i="9"/>
  <c r="C113" i="9"/>
  <c r="B113" i="9"/>
  <c r="C112" i="9"/>
  <c r="B112" i="9"/>
  <c r="C111" i="9"/>
  <c r="B111" i="9"/>
  <c r="C110" i="9"/>
  <c r="B110" i="9"/>
  <c r="C109" i="9"/>
  <c r="B109" i="9"/>
  <c r="C108" i="9"/>
  <c r="B108" i="9"/>
  <c r="C107" i="9"/>
  <c r="B107" i="9"/>
  <c r="C106" i="9"/>
  <c r="B106" i="9"/>
  <c r="C105" i="9"/>
  <c r="B105" i="9"/>
  <c r="C104" i="9"/>
  <c r="B104" i="9"/>
  <c r="C103" i="9"/>
  <c r="B103" i="9"/>
  <c r="C102" i="9"/>
  <c r="B102" i="9"/>
  <c r="C101" i="9"/>
  <c r="B101" i="9"/>
  <c r="C100" i="9"/>
  <c r="B100" i="9"/>
  <c r="C99" i="9"/>
  <c r="B99" i="9"/>
  <c r="C98" i="9"/>
  <c r="B98" i="9"/>
  <c r="C97" i="9"/>
  <c r="B97" i="9"/>
  <c r="C96" i="9"/>
  <c r="B96" i="9"/>
  <c r="C95" i="9"/>
  <c r="B95" i="9"/>
  <c r="C94" i="9"/>
  <c r="B94" i="9"/>
  <c r="C93" i="9"/>
  <c r="B93" i="9"/>
  <c r="C92" i="9"/>
  <c r="B92" i="9"/>
  <c r="C91" i="9"/>
  <c r="B91" i="9"/>
  <c r="C90" i="9"/>
  <c r="B90" i="9"/>
  <c r="C89" i="9"/>
  <c r="B89" i="9"/>
  <c r="C88" i="9"/>
  <c r="B88" i="9"/>
  <c r="C87" i="9"/>
  <c r="B87" i="9"/>
  <c r="C86" i="9"/>
  <c r="B86" i="9"/>
  <c r="C85" i="9"/>
  <c r="B85" i="9"/>
  <c r="C84" i="9"/>
  <c r="B84" i="9"/>
  <c r="C83" i="9"/>
  <c r="B83" i="9"/>
  <c r="C82" i="9"/>
  <c r="B82" i="9"/>
  <c r="C81" i="9"/>
  <c r="B81" i="9"/>
  <c r="C80" i="9"/>
  <c r="B80" i="9"/>
  <c r="C79" i="9"/>
  <c r="B79" i="9"/>
  <c r="C78" i="9"/>
  <c r="B78" i="9"/>
  <c r="C77" i="9"/>
  <c r="B77" i="9"/>
  <c r="C76" i="9"/>
  <c r="B76" i="9"/>
  <c r="C75" i="9"/>
  <c r="B75" i="9"/>
  <c r="C74" i="9"/>
  <c r="B74" i="9"/>
  <c r="C73" i="9"/>
  <c r="B73" i="9"/>
  <c r="C72" i="9"/>
  <c r="B72" i="9"/>
  <c r="C71" i="9"/>
  <c r="B71" i="9"/>
  <c r="C70" i="9"/>
  <c r="B70" i="9"/>
  <c r="C69" i="9"/>
  <c r="B69" i="9"/>
  <c r="C68" i="9"/>
  <c r="B68" i="9"/>
  <c r="C67" i="9"/>
  <c r="B67" i="9"/>
  <c r="C66" i="9"/>
  <c r="B66" i="9"/>
  <c r="C65" i="9"/>
  <c r="B65" i="9"/>
  <c r="C64" i="9"/>
  <c r="B64" i="9"/>
  <c r="C63" i="9"/>
  <c r="B63" i="9"/>
  <c r="C62" i="9"/>
  <c r="B62" i="9"/>
  <c r="C61" i="9"/>
  <c r="B61" i="9"/>
  <c r="C60" i="9"/>
  <c r="B60" i="9"/>
  <c r="C59" i="9"/>
  <c r="B59" i="9"/>
  <c r="C58" i="9"/>
  <c r="B58" i="9"/>
  <c r="C57" i="9"/>
  <c r="B57" i="9"/>
  <c r="C56" i="9"/>
  <c r="B56" i="9"/>
  <c r="C55" i="9"/>
  <c r="B55" i="9"/>
  <c r="C54" i="9"/>
  <c r="B54" i="9"/>
  <c r="C53" i="9"/>
  <c r="B53" i="9"/>
  <c r="C52" i="9"/>
  <c r="B52" i="9"/>
  <c r="C51" i="9"/>
  <c r="B51" i="9"/>
  <c r="C50" i="9"/>
  <c r="B50" i="9"/>
  <c r="C49" i="9"/>
  <c r="B49" i="9"/>
  <c r="C48" i="9"/>
  <c r="B48" i="9"/>
  <c r="C47" i="9"/>
  <c r="B47" i="9"/>
  <c r="C46" i="9"/>
  <c r="B46" i="9"/>
  <c r="C45" i="9"/>
  <c r="B45" i="9"/>
  <c r="C44" i="9"/>
  <c r="B44" i="9"/>
  <c r="C43" i="9"/>
  <c r="B43" i="9"/>
  <c r="C42" i="9"/>
  <c r="B42" i="9"/>
  <c r="C41" i="9"/>
  <c r="B41" i="9"/>
  <c r="C40" i="9"/>
  <c r="B40" i="9"/>
  <c r="C39" i="9"/>
  <c r="B39" i="9"/>
  <c r="C38" i="9"/>
  <c r="B38" i="9"/>
  <c r="C37" i="9"/>
  <c r="B37" i="9"/>
  <c r="C36" i="9"/>
  <c r="B36" i="9"/>
  <c r="C35" i="9"/>
  <c r="B35" i="9"/>
  <c r="C34" i="9"/>
  <c r="B34" i="9"/>
  <c r="C33" i="9"/>
  <c r="B33" i="9"/>
  <c r="C32" i="9"/>
  <c r="B32" i="9"/>
  <c r="C31" i="9"/>
  <c r="B31" i="9"/>
  <c r="C30" i="9"/>
  <c r="B30" i="9"/>
  <c r="C29" i="9"/>
  <c r="B29" i="9"/>
  <c r="C28" i="9"/>
  <c r="B28" i="9"/>
  <c r="C27" i="9"/>
  <c r="B27" i="9"/>
  <c r="C26" i="9"/>
  <c r="B26" i="9"/>
  <c r="C25" i="9"/>
  <c r="B25" i="9"/>
  <c r="C24" i="9"/>
  <c r="B24" i="9"/>
  <c r="C23" i="9"/>
  <c r="B23" i="9"/>
  <c r="C22" i="9"/>
  <c r="B22" i="9"/>
  <c r="C21" i="9"/>
  <c r="B21" i="9"/>
  <c r="C20" i="9"/>
  <c r="B20" i="9"/>
  <c r="C19" i="9"/>
  <c r="B19" i="9"/>
  <c r="C18" i="9"/>
  <c r="B18" i="9"/>
  <c r="C17" i="9"/>
  <c r="B17" i="9"/>
  <c r="C16" i="9"/>
  <c r="B16" i="9"/>
  <c r="C15" i="9"/>
  <c r="B15" i="9"/>
  <c r="C14" i="9"/>
  <c r="B14" i="9"/>
  <c r="C13" i="9"/>
  <c r="B13" i="9"/>
  <c r="C12" i="9"/>
  <c r="B12" i="9"/>
  <c r="J501" i="8"/>
  <c r="I501" i="8"/>
  <c r="H501" i="8"/>
  <c r="G501" i="8"/>
  <c r="F501" i="8"/>
  <c r="J500" i="8"/>
  <c r="I500" i="8"/>
  <c r="H500" i="8"/>
  <c r="G500" i="8"/>
  <c r="F500" i="8"/>
  <c r="J499" i="8"/>
  <c r="I499" i="8"/>
  <c r="H499" i="8"/>
  <c r="G499" i="8"/>
  <c r="F499" i="8"/>
  <c r="J498" i="8"/>
  <c r="I498" i="8"/>
  <c r="H498" i="8"/>
  <c r="G498" i="8"/>
  <c r="F498" i="8"/>
  <c r="J497" i="8"/>
  <c r="I497" i="8"/>
  <c r="H497" i="8"/>
  <c r="G497" i="8"/>
  <c r="F497" i="8"/>
  <c r="J496" i="8"/>
  <c r="I496" i="8"/>
  <c r="H496" i="8"/>
  <c r="G496" i="8"/>
  <c r="F496" i="8"/>
  <c r="J495" i="8"/>
  <c r="I495" i="8"/>
  <c r="H495" i="8"/>
  <c r="G495" i="8"/>
  <c r="F495" i="8"/>
  <c r="J494" i="8"/>
  <c r="I494" i="8"/>
  <c r="H494" i="8"/>
  <c r="G494" i="8"/>
  <c r="F494" i="8"/>
  <c r="J493" i="8"/>
  <c r="I493" i="8"/>
  <c r="H493" i="8"/>
  <c r="G493" i="8"/>
  <c r="F493" i="8"/>
  <c r="J492" i="8"/>
  <c r="I492" i="8"/>
  <c r="H492" i="8"/>
  <c r="G492" i="8"/>
  <c r="F492" i="8"/>
  <c r="J491" i="8"/>
  <c r="I491" i="8"/>
  <c r="H491" i="8"/>
  <c r="G491" i="8"/>
  <c r="F491" i="8"/>
  <c r="J490" i="8"/>
  <c r="I490" i="8"/>
  <c r="H490" i="8"/>
  <c r="G490" i="8"/>
  <c r="F490" i="8"/>
  <c r="J489" i="8"/>
  <c r="I489" i="8"/>
  <c r="H489" i="8"/>
  <c r="G489" i="8"/>
  <c r="F489" i="8"/>
  <c r="J488" i="8"/>
  <c r="I488" i="8"/>
  <c r="H488" i="8"/>
  <c r="G488" i="8"/>
  <c r="F488" i="8"/>
  <c r="J487" i="8"/>
  <c r="I487" i="8"/>
  <c r="H487" i="8"/>
  <c r="G487" i="8"/>
  <c r="F487" i="8"/>
  <c r="J486" i="8"/>
  <c r="I486" i="8"/>
  <c r="H486" i="8"/>
  <c r="G486" i="8"/>
  <c r="F486" i="8"/>
  <c r="J485" i="8"/>
  <c r="I485" i="8"/>
  <c r="H485" i="8"/>
  <c r="G485" i="8"/>
  <c r="F485" i="8"/>
  <c r="J484" i="8"/>
  <c r="I484" i="8"/>
  <c r="H484" i="8"/>
  <c r="G484" i="8"/>
  <c r="F484" i="8"/>
  <c r="J483" i="8"/>
  <c r="I483" i="8"/>
  <c r="H483" i="8"/>
  <c r="G483" i="8"/>
  <c r="F483" i="8"/>
  <c r="J482" i="8"/>
  <c r="I482" i="8"/>
  <c r="H482" i="8"/>
  <c r="G482" i="8"/>
  <c r="F482" i="8"/>
  <c r="J481" i="8"/>
  <c r="I481" i="8"/>
  <c r="H481" i="8"/>
  <c r="G481" i="8"/>
  <c r="F481" i="8"/>
  <c r="J480" i="8"/>
  <c r="I480" i="8"/>
  <c r="H480" i="8"/>
  <c r="G480" i="8"/>
  <c r="F480" i="8"/>
  <c r="J479" i="8"/>
  <c r="I479" i="8"/>
  <c r="H479" i="8"/>
  <c r="G479" i="8"/>
  <c r="F479" i="8"/>
  <c r="J478" i="8"/>
  <c r="I478" i="8"/>
  <c r="H478" i="8"/>
  <c r="G478" i="8"/>
  <c r="F478" i="8"/>
  <c r="J477" i="8"/>
  <c r="I477" i="8"/>
  <c r="H477" i="8"/>
  <c r="G477" i="8"/>
  <c r="F477" i="8"/>
  <c r="J476" i="8"/>
  <c r="I476" i="8"/>
  <c r="H476" i="8"/>
  <c r="G476" i="8"/>
  <c r="F476" i="8"/>
  <c r="J475" i="8"/>
  <c r="I475" i="8"/>
  <c r="H475" i="8"/>
  <c r="G475" i="8"/>
  <c r="F475" i="8"/>
  <c r="J474" i="8"/>
  <c r="I474" i="8"/>
  <c r="H474" i="8"/>
  <c r="G474" i="8"/>
  <c r="F474" i="8"/>
  <c r="J473" i="8"/>
  <c r="I473" i="8"/>
  <c r="H473" i="8"/>
  <c r="G473" i="8"/>
  <c r="F473" i="8"/>
  <c r="J472" i="8"/>
  <c r="I472" i="8"/>
  <c r="H472" i="8"/>
  <c r="G472" i="8"/>
  <c r="F472" i="8"/>
  <c r="J471" i="8"/>
  <c r="I471" i="8"/>
  <c r="H471" i="8"/>
  <c r="G471" i="8"/>
  <c r="F471" i="8"/>
  <c r="J470" i="8"/>
  <c r="I470" i="8"/>
  <c r="H470" i="8"/>
  <c r="G470" i="8"/>
  <c r="F470" i="8"/>
  <c r="J469" i="8"/>
  <c r="I469" i="8"/>
  <c r="H469" i="8"/>
  <c r="G469" i="8"/>
  <c r="F469" i="8"/>
  <c r="J468" i="8"/>
  <c r="I468" i="8"/>
  <c r="H468" i="8"/>
  <c r="G468" i="8"/>
  <c r="F468" i="8"/>
  <c r="J467" i="8"/>
  <c r="I467" i="8"/>
  <c r="H467" i="8"/>
  <c r="G467" i="8"/>
  <c r="F467" i="8"/>
  <c r="J466" i="8"/>
  <c r="I466" i="8"/>
  <c r="H466" i="8"/>
  <c r="G466" i="8"/>
  <c r="F466" i="8"/>
  <c r="J465" i="8"/>
  <c r="I465" i="8"/>
  <c r="H465" i="8"/>
  <c r="G465" i="8"/>
  <c r="F465" i="8"/>
  <c r="J464" i="8"/>
  <c r="I464" i="8"/>
  <c r="H464" i="8"/>
  <c r="G464" i="8"/>
  <c r="F464" i="8"/>
  <c r="J463" i="8"/>
  <c r="I463" i="8"/>
  <c r="H463" i="8"/>
  <c r="G463" i="8"/>
  <c r="F463" i="8"/>
  <c r="J462" i="8"/>
  <c r="I462" i="8"/>
  <c r="H462" i="8"/>
  <c r="G462" i="8"/>
  <c r="F462" i="8"/>
  <c r="J461" i="8"/>
  <c r="I461" i="8"/>
  <c r="H461" i="8"/>
  <c r="G461" i="8"/>
  <c r="F461" i="8"/>
  <c r="J460" i="8"/>
  <c r="I460" i="8"/>
  <c r="H460" i="8"/>
  <c r="G460" i="8"/>
  <c r="F460" i="8"/>
  <c r="J459" i="8"/>
  <c r="I459" i="8"/>
  <c r="H459" i="8"/>
  <c r="G459" i="8"/>
  <c r="F459" i="8"/>
  <c r="J458" i="8"/>
  <c r="I458" i="8"/>
  <c r="H458" i="8"/>
  <c r="G458" i="8"/>
  <c r="F458" i="8"/>
  <c r="J457" i="8"/>
  <c r="I457" i="8"/>
  <c r="H457" i="8"/>
  <c r="G457" i="8"/>
  <c r="F457" i="8"/>
  <c r="J456" i="8"/>
  <c r="I456" i="8"/>
  <c r="H456" i="8"/>
  <c r="G456" i="8"/>
  <c r="F456" i="8"/>
  <c r="J455" i="8"/>
  <c r="I455" i="8"/>
  <c r="H455" i="8"/>
  <c r="G455" i="8"/>
  <c r="F455" i="8"/>
  <c r="J454" i="8"/>
  <c r="I454" i="8"/>
  <c r="H454" i="8"/>
  <c r="G454" i="8"/>
  <c r="F454" i="8"/>
  <c r="J453" i="8"/>
  <c r="I453" i="8"/>
  <c r="H453" i="8"/>
  <c r="G453" i="8"/>
  <c r="F453" i="8"/>
  <c r="J452" i="8"/>
  <c r="I452" i="8"/>
  <c r="H452" i="8"/>
  <c r="G452" i="8"/>
  <c r="F452" i="8"/>
  <c r="J451" i="8"/>
  <c r="I451" i="8"/>
  <c r="H451" i="8"/>
  <c r="G451" i="8"/>
  <c r="F451" i="8"/>
  <c r="J450" i="8"/>
  <c r="I450" i="8"/>
  <c r="H450" i="8"/>
  <c r="G450" i="8"/>
  <c r="F450" i="8"/>
  <c r="J449" i="8"/>
  <c r="I449" i="8"/>
  <c r="H449" i="8"/>
  <c r="G449" i="8"/>
  <c r="F449" i="8"/>
  <c r="J448" i="8"/>
  <c r="I448" i="8"/>
  <c r="H448" i="8"/>
  <c r="G448" i="8"/>
  <c r="F448" i="8"/>
  <c r="J447" i="8"/>
  <c r="I447" i="8"/>
  <c r="H447" i="8"/>
  <c r="G447" i="8"/>
  <c r="F447" i="8"/>
  <c r="J446" i="8"/>
  <c r="I446" i="8"/>
  <c r="H446" i="8"/>
  <c r="G446" i="8"/>
  <c r="F446" i="8"/>
  <c r="J445" i="8"/>
  <c r="I445" i="8"/>
  <c r="H445" i="8"/>
  <c r="G445" i="8"/>
  <c r="F445" i="8"/>
  <c r="J444" i="8"/>
  <c r="I444" i="8"/>
  <c r="H444" i="8"/>
  <c r="G444" i="8"/>
  <c r="F444" i="8"/>
  <c r="J443" i="8"/>
  <c r="I443" i="8"/>
  <c r="H443" i="8"/>
  <c r="G443" i="8"/>
  <c r="F443" i="8"/>
  <c r="J442" i="8"/>
  <c r="I442" i="8"/>
  <c r="H442" i="8"/>
  <c r="G442" i="8"/>
  <c r="F442" i="8"/>
  <c r="J441" i="8"/>
  <c r="I441" i="8"/>
  <c r="H441" i="8"/>
  <c r="G441" i="8"/>
  <c r="F441" i="8"/>
  <c r="J440" i="8"/>
  <c r="I440" i="8"/>
  <c r="H440" i="8"/>
  <c r="G440" i="8"/>
  <c r="F440" i="8"/>
  <c r="J439" i="8"/>
  <c r="I439" i="8"/>
  <c r="H439" i="8"/>
  <c r="G439" i="8"/>
  <c r="F439" i="8"/>
  <c r="J438" i="8"/>
  <c r="I438" i="8"/>
  <c r="H438" i="8"/>
  <c r="G438" i="8"/>
  <c r="F438" i="8"/>
  <c r="J437" i="8"/>
  <c r="I437" i="8"/>
  <c r="H437" i="8"/>
  <c r="G437" i="8"/>
  <c r="F437" i="8"/>
  <c r="J436" i="8"/>
  <c r="I436" i="8"/>
  <c r="H436" i="8"/>
  <c r="G436" i="8"/>
  <c r="F436" i="8"/>
  <c r="J435" i="8"/>
  <c r="I435" i="8"/>
  <c r="H435" i="8"/>
  <c r="G435" i="8"/>
  <c r="F435" i="8"/>
  <c r="J434" i="8"/>
  <c r="I434" i="8"/>
  <c r="H434" i="8"/>
  <c r="G434" i="8"/>
  <c r="F434" i="8"/>
  <c r="J433" i="8"/>
  <c r="I433" i="8"/>
  <c r="H433" i="8"/>
  <c r="G433" i="8"/>
  <c r="F433" i="8"/>
  <c r="J432" i="8"/>
  <c r="I432" i="8"/>
  <c r="H432" i="8"/>
  <c r="G432" i="8"/>
  <c r="F432" i="8"/>
  <c r="J431" i="8"/>
  <c r="I431" i="8"/>
  <c r="H431" i="8"/>
  <c r="G431" i="8"/>
  <c r="F431" i="8"/>
  <c r="J430" i="8"/>
  <c r="I430" i="8"/>
  <c r="H430" i="8"/>
  <c r="G430" i="8"/>
  <c r="F430" i="8"/>
  <c r="J429" i="8"/>
  <c r="I429" i="8"/>
  <c r="H429" i="8"/>
  <c r="G429" i="8"/>
  <c r="F429" i="8"/>
  <c r="J428" i="8"/>
  <c r="I428" i="8"/>
  <c r="H428" i="8"/>
  <c r="G428" i="8"/>
  <c r="F428" i="8"/>
  <c r="J427" i="8"/>
  <c r="I427" i="8"/>
  <c r="H427" i="8"/>
  <c r="G427" i="8"/>
  <c r="F427" i="8"/>
  <c r="J426" i="8"/>
  <c r="I426" i="8"/>
  <c r="H426" i="8"/>
  <c r="G426" i="8"/>
  <c r="F426" i="8"/>
  <c r="J425" i="8"/>
  <c r="I425" i="8"/>
  <c r="H425" i="8"/>
  <c r="G425" i="8"/>
  <c r="F425" i="8"/>
  <c r="J424" i="8"/>
  <c r="I424" i="8"/>
  <c r="H424" i="8"/>
  <c r="G424" i="8"/>
  <c r="F424" i="8"/>
  <c r="J423" i="8"/>
  <c r="I423" i="8"/>
  <c r="H423" i="8"/>
  <c r="G423" i="8"/>
  <c r="F423" i="8"/>
  <c r="J422" i="8"/>
  <c r="I422" i="8"/>
  <c r="H422" i="8"/>
  <c r="G422" i="8"/>
  <c r="F422" i="8"/>
  <c r="J421" i="8"/>
  <c r="I421" i="8"/>
  <c r="H421" i="8"/>
  <c r="G421" i="8"/>
  <c r="F421" i="8"/>
  <c r="J420" i="8"/>
  <c r="I420" i="8"/>
  <c r="H420" i="8"/>
  <c r="G420" i="8"/>
  <c r="F420" i="8"/>
  <c r="J419" i="8"/>
  <c r="I419" i="8"/>
  <c r="H419" i="8"/>
  <c r="G419" i="8"/>
  <c r="F419" i="8"/>
  <c r="J418" i="8"/>
  <c r="I418" i="8"/>
  <c r="H418" i="8"/>
  <c r="G418" i="8"/>
  <c r="F418" i="8"/>
  <c r="J417" i="8"/>
  <c r="I417" i="8"/>
  <c r="H417" i="8"/>
  <c r="G417" i="8"/>
  <c r="F417" i="8"/>
  <c r="J416" i="8"/>
  <c r="I416" i="8"/>
  <c r="H416" i="8"/>
  <c r="G416" i="8"/>
  <c r="F416" i="8"/>
  <c r="J415" i="8"/>
  <c r="I415" i="8"/>
  <c r="H415" i="8"/>
  <c r="G415" i="8"/>
  <c r="F415" i="8"/>
  <c r="J414" i="8"/>
  <c r="I414" i="8"/>
  <c r="H414" i="8"/>
  <c r="G414" i="8"/>
  <c r="F414" i="8"/>
  <c r="J413" i="8"/>
  <c r="I413" i="8"/>
  <c r="H413" i="8"/>
  <c r="G413" i="8"/>
  <c r="F413" i="8"/>
  <c r="J412" i="8"/>
  <c r="I412" i="8"/>
  <c r="H412" i="8"/>
  <c r="G412" i="8"/>
  <c r="F412" i="8"/>
  <c r="J411" i="8"/>
  <c r="I411" i="8"/>
  <c r="H411" i="8"/>
  <c r="G411" i="8"/>
  <c r="F411" i="8"/>
  <c r="J410" i="8"/>
  <c r="I410" i="8"/>
  <c r="H410" i="8"/>
  <c r="G410" i="8"/>
  <c r="F410" i="8"/>
  <c r="J409" i="8"/>
  <c r="I409" i="8"/>
  <c r="H409" i="8"/>
  <c r="G409" i="8"/>
  <c r="F409" i="8"/>
  <c r="J408" i="8"/>
  <c r="I408" i="8"/>
  <c r="H408" i="8"/>
  <c r="G408" i="8"/>
  <c r="F408" i="8"/>
  <c r="J407" i="8"/>
  <c r="I407" i="8"/>
  <c r="H407" i="8"/>
  <c r="G407" i="8"/>
  <c r="F407" i="8"/>
  <c r="J406" i="8"/>
  <c r="I406" i="8"/>
  <c r="H406" i="8"/>
  <c r="G406" i="8"/>
  <c r="F406" i="8"/>
  <c r="J405" i="8"/>
  <c r="I405" i="8"/>
  <c r="H405" i="8"/>
  <c r="G405" i="8"/>
  <c r="F405" i="8"/>
  <c r="J404" i="8"/>
  <c r="I404" i="8"/>
  <c r="H404" i="8"/>
  <c r="G404" i="8"/>
  <c r="F404" i="8"/>
  <c r="J403" i="8"/>
  <c r="I403" i="8"/>
  <c r="H403" i="8"/>
  <c r="G403" i="8"/>
  <c r="F403" i="8"/>
  <c r="J402" i="8"/>
  <c r="I402" i="8"/>
  <c r="H402" i="8"/>
  <c r="G402" i="8"/>
  <c r="F402" i="8"/>
  <c r="J401" i="8"/>
  <c r="I401" i="8"/>
  <c r="H401" i="8"/>
  <c r="G401" i="8"/>
  <c r="F401" i="8"/>
  <c r="J400" i="8"/>
  <c r="I400" i="8"/>
  <c r="H400" i="8"/>
  <c r="G400" i="8"/>
  <c r="F400" i="8"/>
  <c r="J399" i="8"/>
  <c r="I399" i="8"/>
  <c r="H399" i="8"/>
  <c r="G399" i="8"/>
  <c r="F399" i="8"/>
  <c r="J398" i="8"/>
  <c r="I398" i="8"/>
  <c r="H398" i="8"/>
  <c r="G398" i="8"/>
  <c r="F398" i="8"/>
  <c r="J397" i="8"/>
  <c r="I397" i="8"/>
  <c r="H397" i="8"/>
  <c r="G397" i="8"/>
  <c r="F397" i="8"/>
  <c r="J396" i="8"/>
  <c r="I396" i="8"/>
  <c r="H396" i="8"/>
  <c r="G396" i="8"/>
  <c r="F396" i="8"/>
  <c r="J395" i="8"/>
  <c r="I395" i="8"/>
  <c r="H395" i="8"/>
  <c r="G395" i="8"/>
  <c r="F395" i="8"/>
  <c r="J394" i="8"/>
  <c r="I394" i="8"/>
  <c r="H394" i="8"/>
  <c r="G394" i="8"/>
  <c r="F394" i="8"/>
  <c r="J393" i="8"/>
  <c r="I393" i="8"/>
  <c r="H393" i="8"/>
  <c r="G393" i="8"/>
  <c r="F393" i="8"/>
  <c r="J392" i="8"/>
  <c r="I392" i="8"/>
  <c r="H392" i="8"/>
  <c r="G392" i="8"/>
  <c r="F392" i="8"/>
  <c r="J391" i="8"/>
  <c r="I391" i="8"/>
  <c r="H391" i="8"/>
  <c r="G391" i="8"/>
  <c r="F391" i="8"/>
  <c r="J390" i="8"/>
  <c r="I390" i="8"/>
  <c r="H390" i="8"/>
  <c r="G390" i="8"/>
  <c r="F390" i="8"/>
  <c r="J389" i="8"/>
  <c r="I389" i="8"/>
  <c r="H389" i="8"/>
  <c r="G389" i="8"/>
  <c r="F389" i="8"/>
  <c r="J388" i="8"/>
  <c r="I388" i="8"/>
  <c r="H388" i="8"/>
  <c r="G388" i="8"/>
  <c r="F388" i="8"/>
  <c r="J387" i="8"/>
  <c r="I387" i="8"/>
  <c r="H387" i="8"/>
  <c r="G387" i="8"/>
  <c r="F387" i="8"/>
  <c r="J386" i="8"/>
  <c r="I386" i="8"/>
  <c r="H386" i="8"/>
  <c r="G386" i="8"/>
  <c r="F386" i="8"/>
  <c r="J385" i="8"/>
  <c r="I385" i="8"/>
  <c r="H385" i="8"/>
  <c r="G385" i="8"/>
  <c r="F385" i="8"/>
  <c r="J384" i="8"/>
  <c r="I384" i="8"/>
  <c r="H384" i="8"/>
  <c r="G384" i="8"/>
  <c r="F384" i="8"/>
  <c r="J383" i="8"/>
  <c r="I383" i="8"/>
  <c r="H383" i="8"/>
  <c r="G383" i="8"/>
  <c r="F383" i="8"/>
  <c r="J382" i="8"/>
  <c r="I382" i="8"/>
  <c r="H382" i="8"/>
  <c r="G382" i="8"/>
  <c r="F382" i="8"/>
  <c r="J381" i="8"/>
  <c r="I381" i="8"/>
  <c r="H381" i="8"/>
  <c r="G381" i="8"/>
  <c r="F381" i="8"/>
  <c r="J380" i="8"/>
  <c r="I380" i="8"/>
  <c r="H380" i="8"/>
  <c r="G380" i="8"/>
  <c r="F380" i="8"/>
  <c r="J379" i="8"/>
  <c r="I379" i="8"/>
  <c r="H379" i="8"/>
  <c r="G379" i="8"/>
  <c r="F379" i="8"/>
  <c r="J378" i="8"/>
  <c r="I378" i="8"/>
  <c r="H378" i="8"/>
  <c r="G378" i="8"/>
  <c r="F378" i="8"/>
  <c r="J377" i="8"/>
  <c r="I377" i="8"/>
  <c r="H377" i="8"/>
  <c r="G377" i="8"/>
  <c r="F377" i="8"/>
  <c r="J376" i="8"/>
  <c r="I376" i="8"/>
  <c r="H376" i="8"/>
  <c r="G376" i="8"/>
  <c r="F376" i="8"/>
  <c r="J375" i="8"/>
  <c r="I375" i="8"/>
  <c r="H375" i="8"/>
  <c r="G375" i="8"/>
  <c r="F375" i="8"/>
  <c r="J374" i="8"/>
  <c r="I374" i="8"/>
  <c r="H374" i="8"/>
  <c r="G374" i="8"/>
  <c r="F374" i="8"/>
  <c r="J373" i="8"/>
  <c r="I373" i="8"/>
  <c r="H373" i="8"/>
  <c r="G373" i="8"/>
  <c r="F373" i="8"/>
  <c r="J372" i="8"/>
  <c r="I372" i="8"/>
  <c r="H372" i="8"/>
  <c r="G372" i="8"/>
  <c r="F372" i="8"/>
  <c r="J371" i="8"/>
  <c r="I371" i="8"/>
  <c r="H371" i="8"/>
  <c r="G371" i="8"/>
  <c r="F371" i="8"/>
  <c r="J370" i="8"/>
  <c r="I370" i="8"/>
  <c r="H370" i="8"/>
  <c r="G370" i="8"/>
  <c r="F370" i="8"/>
  <c r="J369" i="8"/>
  <c r="I369" i="8"/>
  <c r="H369" i="8"/>
  <c r="G369" i="8"/>
  <c r="F369" i="8"/>
  <c r="J368" i="8"/>
  <c r="I368" i="8"/>
  <c r="H368" i="8"/>
  <c r="G368" i="8"/>
  <c r="F368" i="8"/>
  <c r="J367" i="8"/>
  <c r="I367" i="8"/>
  <c r="H367" i="8"/>
  <c r="G367" i="8"/>
  <c r="F367" i="8"/>
  <c r="J366" i="8"/>
  <c r="I366" i="8"/>
  <c r="H366" i="8"/>
  <c r="G366" i="8"/>
  <c r="F366" i="8"/>
  <c r="J365" i="8"/>
  <c r="I365" i="8"/>
  <c r="H365" i="8"/>
  <c r="G365" i="8"/>
  <c r="F365" i="8"/>
  <c r="J364" i="8"/>
  <c r="I364" i="8"/>
  <c r="H364" i="8"/>
  <c r="G364" i="8"/>
  <c r="F364" i="8"/>
  <c r="J363" i="8"/>
  <c r="I363" i="8"/>
  <c r="H363" i="8"/>
  <c r="G363" i="8"/>
  <c r="F363" i="8"/>
  <c r="J362" i="8"/>
  <c r="I362" i="8"/>
  <c r="H362" i="8"/>
  <c r="G362" i="8"/>
  <c r="F362" i="8"/>
  <c r="J361" i="8"/>
  <c r="I361" i="8"/>
  <c r="H361" i="8"/>
  <c r="G361" i="8"/>
  <c r="F361" i="8"/>
  <c r="J360" i="8"/>
  <c r="I360" i="8"/>
  <c r="H360" i="8"/>
  <c r="G360" i="8"/>
  <c r="F360" i="8"/>
  <c r="J359" i="8"/>
  <c r="I359" i="8"/>
  <c r="H359" i="8"/>
  <c r="G359" i="8"/>
  <c r="F359" i="8"/>
  <c r="J358" i="8"/>
  <c r="I358" i="8"/>
  <c r="H358" i="8"/>
  <c r="G358" i="8"/>
  <c r="F358" i="8"/>
  <c r="J357" i="8"/>
  <c r="I357" i="8"/>
  <c r="H357" i="8"/>
  <c r="G357" i="8"/>
  <c r="F357" i="8"/>
  <c r="J356" i="8"/>
  <c r="I356" i="8"/>
  <c r="H356" i="8"/>
  <c r="G356" i="8"/>
  <c r="F356" i="8"/>
  <c r="J355" i="8"/>
  <c r="I355" i="8"/>
  <c r="H355" i="8"/>
  <c r="G355" i="8"/>
  <c r="F355" i="8"/>
  <c r="J354" i="8"/>
  <c r="I354" i="8"/>
  <c r="H354" i="8"/>
  <c r="G354" i="8"/>
  <c r="F354" i="8"/>
  <c r="J353" i="8"/>
  <c r="I353" i="8"/>
  <c r="H353" i="8"/>
  <c r="G353" i="8"/>
  <c r="F353" i="8"/>
  <c r="J352" i="8"/>
  <c r="I352" i="8"/>
  <c r="H352" i="8"/>
  <c r="G352" i="8"/>
  <c r="F352" i="8"/>
  <c r="J351" i="8"/>
  <c r="I351" i="8"/>
  <c r="H351" i="8"/>
  <c r="G351" i="8"/>
  <c r="F351" i="8"/>
  <c r="J350" i="8"/>
  <c r="I350" i="8"/>
  <c r="H350" i="8"/>
  <c r="G350" i="8"/>
  <c r="F350" i="8"/>
  <c r="J349" i="8"/>
  <c r="I349" i="8"/>
  <c r="H349" i="8"/>
  <c r="G349" i="8"/>
  <c r="F349" i="8"/>
  <c r="J348" i="8"/>
  <c r="I348" i="8"/>
  <c r="H348" i="8"/>
  <c r="G348" i="8"/>
  <c r="F348" i="8"/>
  <c r="J347" i="8"/>
  <c r="I347" i="8"/>
  <c r="H347" i="8"/>
  <c r="G347" i="8"/>
  <c r="F347" i="8"/>
  <c r="J346" i="8"/>
  <c r="I346" i="8"/>
  <c r="H346" i="8"/>
  <c r="G346" i="8"/>
  <c r="F346" i="8"/>
  <c r="J345" i="8"/>
  <c r="I345" i="8"/>
  <c r="H345" i="8"/>
  <c r="G345" i="8"/>
  <c r="F345" i="8"/>
  <c r="J344" i="8"/>
  <c r="I344" i="8"/>
  <c r="H344" i="8"/>
  <c r="G344" i="8"/>
  <c r="F344" i="8"/>
  <c r="J343" i="8"/>
  <c r="I343" i="8"/>
  <c r="H343" i="8"/>
  <c r="G343" i="8"/>
  <c r="F343" i="8"/>
  <c r="J342" i="8"/>
  <c r="I342" i="8"/>
  <c r="H342" i="8"/>
  <c r="G342" i="8"/>
  <c r="F342" i="8"/>
  <c r="J341" i="8"/>
  <c r="I341" i="8"/>
  <c r="H341" i="8"/>
  <c r="G341" i="8"/>
  <c r="F341" i="8"/>
  <c r="J340" i="8"/>
  <c r="I340" i="8"/>
  <c r="H340" i="8"/>
  <c r="G340" i="8"/>
  <c r="F340" i="8"/>
  <c r="J339" i="8"/>
  <c r="I339" i="8"/>
  <c r="H339" i="8"/>
  <c r="G339" i="8"/>
  <c r="F339" i="8"/>
  <c r="J338" i="8"/>
  <c r="I338" i="8"/>
  <c r="H338" i="8"/>
  <c r="G338" i="8"/>
  <c r="F338" i="8"/>
  <c r="J337" i="8"/>
  <c r="I337" i="8"/>
  <c r="H337" i="8"/>
  <c r="G337" i="8"/>
  <c r="F337" i="8"/>
  <c r="J336" i="8"/>
  <c r="I336" i="8"/>
  <c r="H336" i="8"/>
  <c r="G336" i="8"/>
  <c r="F336" i="8"/>
  <c r="J335" i="8"/>
  <c r="I335" i="8"/>
  <c r="H335" i="8"/>
  <c r="G335" i="8"/>
  <c r="F335" i="8"/>
  <c r="J334" i="8"/>
  <c r="I334" i="8"/>
  <c r="H334" i="8"/>
  <c r="G334" i="8"/>
  <c r="F334" i="8"/>
  <c r="J333" i="8"/>
  <c r="I333" i="8"/>
  <c r="H333" i="8"/>
  <c r="G333" i="8"/>
  <c r="F333" i="8"/>
  <c r="J332" i="8"/>
  <c r="I332" i="8"/>
  <c r="H332" i="8"/>
  <c r="G332" i="8"/>
  <c r="F332" i="8"/>
  <c r="J331" i="8"/>
  <c r="I331" i="8"/>
  <c r="H331" i="8"/>
  <c r="G331" i="8"/>
  <c r="F331" i="8"/>
  <c r="J330" i="8"/>
  <c r="I330" i="8"/>
  <c r="H330" i="8"/>
  <c r="G330" i="8"/>
  <c r="F330" i="8"/>
  <c r="J329" i="8"/>
  <c r="I329" i="8"/>
  <c r="H329" i="8"/>
  <c r="G329" i="8"/>
  <c r="F329" i="8"/>
  <c r="J328" i="8"/>
  <c r="I328" i="8"/>
  <c r="H328" i="8"/>
  <c r="G328" i="8"/>
  <c r="F328" i="8"/>
  <c r="J327" i="8"/>
  <c r="I327" i="8"/>
  <c r="H327" i="8"/>
  <c r="G327" i="8"/>
  <c r="F327" i="8"/>
  <c r="J326" i="8"/>
  <c r="I326" i="8"/>
  <c r="H326" i="8"/>
  <c r="G326" i="8"/>
  <c r="F326" i="8"/>
  <c r="J325" i="8"/>
  <c r="I325" i="8"/>
  <c r="H325" i="8"/>
  <c r="G325" i="8"/>
  <c r="F325" i="8"/>
  <c r="J324" i="8"/>
  <c r="I324" i="8"/>
  <c r="H324" i="8"/>
  <c r="G324" i="8"/>
  <c r="F324" i="8"/>
  <c r="J323" i="8"/>
  <c r="I323" i="8"/>
  <c r="H323" i="8"/>
  <c r="G323" i="8"/>
  <c r="F323" i="8"/>
  <c r="J322" i="8"/>
  <c r="I322" i="8"/>
  <c r="H322" i="8"/>
  <c r="G322" i="8"/>
  <c r="F322" i="8"/>
  <c r="J321" i="8"/>
  <c r="I321" i="8"/>
  <c r="H321" i="8"/>
  <c r="G321" i="8"/>
  <c r="F321" i="8"/>
  <c r="J320" i="8"/>
  <c r="I320" i="8"/>
  <c r="H320" i="8"/>
  <c r="G320" i="8"/>
  <c r="F320" i="8"/>
  <c r="J319" i="8"/>
  <c r="I319" i="8"/>
  <c r="H319" i="8"/>
  <c r="G319" i="8"/>
  <c r="F319" i="8"/>
  <c r="J318" i="8"/>
  <c r="I318" i="8"/>
  <c r="H318" i="8"/>
  <c r="G318" i="8"/>
  <c r="F318" i="8"/>
  <c r="J317" i="8"/>
  <c r="I317" i="8"/>
  <c r="H317" i="8"/>
  <c r="G317" i="8"/>
  <c r="F317" i="8"/>
  <c r="J316" i="8"/>
  <c r="I316" i="8"/>
  <c r="H316" i="8"/>
  <c r="G316" i="8"/>
  <c r="F316" i="8"/>
  <c r="J315" i="8"/>
  <c r="I315" i="8"/>
  <c r="H315" i="8"/>
  <c r="G315" i="8"/>
  <c r="F315" i="8"/>
  <c r="J314" i="8"/>
  <c r="I314" i="8"/>
  <c r="H314" i="8"/>
  <c r="G314" i="8"/>
  <c r="F314" i="8"/>
  <c r="J313" i="8"/>
  <c r="I313" i="8"/>
  <c r="H313" i="8"/>
  <c r="G313" i="8"/>
  <c r="F313" i="8"/>
  <c r="J312" i="8"/>
  <c r="I312" i="8"/>
  <c r="H312" i="8"/>
  <c r="G312" i="8"/>
  <c r="F312" i="8"/>
  <c r="J311" i="8"/>
  <c r="I311" i="8"/>
  <c r="H311" i="8"/>
  <c r="G311" i="8"/>
  <c r="F311" i="8"/>
  <c r="J310" i="8"/>
  <c r="I310" i="8"/>
  <c r="H310" i="8"/>
  <c r="G310" i="8"/>
  <c r="F310" i="8"/>
  <c r="J309" i="8"/>
  <c r="I309" i="8"/>
  <c r="H309" i="8"/>
  <c r="G309" i="8"/>
  <c r="F309" i="8"/>
  <c r="J308" i="8"/>
  <c r="I308" i="8"/>
  <c r="H308" i="8"/>
  <c r="G308" i="8"/>
  <c r="F308" i="8"/>
  <c r="J307" i="8"/>
  <c r="I307" i="8"/>
  <c r="H307" i="8"/>
  <c r="G307" i="8"/>
  <c r="F307" i="8"/>
  <c r="J306" i="8"/>
  <c r="I306" i="8"/>
  <c r="H306" i="8"/>
  <c r="G306" i="8"/>
  <c r="F306" i="8"/>
  <c r="J305" i="8"/>
  <c r="I305" i="8"/>
  <c r="H305" i="8"/>
  <c r="G305" i="8"/>
  <c r="F305" i="8"/>
  <c r="J304" i="8"/>
  <c r="I304" i="8"/>
  <c r="H304" i="8"/>
  <c r="G304" i="8"/>
  <c r="F304" i="8"/>
  <c r="J303" i="8"/>
  <c r="I303" i="8"/>
  <c r="H303" i="8"/>
  <c r="G303" i="8"/>
  <c r="F303" i="8"/>
  <c r="J302" i="8"/>
  <c r="I302" i="8"/>
  <c r="H302" i="8"/>
  <c r="G302" i="8"/>
  <c r="F302" i="8"/>
  <c r="J301" i="8"/>
  <c r="I301" i="8"/>
  <c r="H301" i="8"/>
  <c r="G301" i="8"/>
  <c r="F301" i="8"/>
  <c r="J300" i="8"/>
  <c r="I300" i="8"/>
  <c r="H300" i="8"/>
  <c r="G300" i="8"/>
  <c r="F300" i="8"/>
  <c r="J299" i="8"/>
  <c r="I299" i="8"/>
  <c r="H299" i="8"/>
  <c r="G299" i="8"/>
  <c r="F299" i="8"/>
  <c r="J298" i="8"/>
  <c r="I298" i="8"/>
  <c r="H298" i="8"/>
  <c r="G298" i="8"/>
  <c r="F298" i="8"/>
  <c r="J297" i="8"/>
  <c r="I297" i="8"/>
  <c r="H297" i="8"/>
  <c r="G297" i="8"/>
  <c r="F297" i="8"/>
  <c r="J296" i="8"/>
  <c r="I296" i="8"/>
  <c r="H296" i="8"/>
  <c r="G296" i="8"/>
  <c r="F296" i="8"/>
  <c r="J295" i="8"/>
  <c r="I295" i="8"/>
  <c r="H295" i="8"/>
  <c r="G295" i="8"/>
  <c r="F295" i="8"/>
  <c r="J294" i="8"/>
  <c r="I294" i="8"/>
  <c r="H294" i="8"/>
  <c r="G294" i="8"/>
  <c r="F294" i="8"/>
  <c r="J293" i="8"/>
  <c r="I293" i="8"/>
  <c r="H293" i="8"/>
  <c r="G293" i="8"/>
  <c r="F293" i="8"/>
  <c r="J292" i="8"/>
  <c r="I292" i="8"/>
  <c r="H292" i="8"/>
  <c r="G292" i="8"/>
  <c r="F292" i="8"/>
  <c r="J291" i="8"/>
  <c r="I291" i="8"/>
  <c r="H291" i="8"/>
  <c r="G291" i="8"/>
  <c r="F291" i="8"/>
  <c r="J290" i="8"/>
  <c r="I290" i="8"/>
  <c r="H290" i="8"/>
  <c r="G290" i="8"/>
  <c r="F290" i="8"/>
  <c r="J289" i="8"/>
  <c r="I289" i="8"/>
  <c r="H289" i="8"/>
  <c r="G289" i="8"/>
  <c r="F289" i="8"/>
  <c r="J288" i="8"/>
  <c r="I288" i="8"/>
  <c r="H288" i="8"/>
  <c r="G288" i="8"/>
  <c r="F288" i="8"/>
  <c r="J287" i="8"/>
  <c r="I287" i="8"/>
  <c r="H287" i="8"/>
  <c r="G287" i="8"/>
  <c r="F287" i="8"/>
  <c r="J286" i="8"/>
  <c r="I286" i="8"/>
  <c r="H286" i="8"/>
  <c r="G286" i="8"/>
  <c r="F286" i="8"/>
  <c r="J285" i="8"/>
  <c r="I285" i="8"/>
  <c r="H285" i="8"/>
  <c r="G285" i="8"/>
  <c r="F285" i="8"/>
  <c r="J284" i="8"/>
  <c r="I284" i="8"/>
  <c r="H284" i="8"/>
  <c r="G284" i="8"/>
  <c r="F284" i="8"/>
  <c r="J283" i="8"/>
  <c r="I283" i="8"/>
  <c r="H283" i="8"/>
  <c r="G283" i="8"/>
  <c r="F283" i="8"/>
  <c r="J282" i="8"/>
  <c r="I282" i="8"/>
  <c r="H282" i="8"/>
  <c r="G282" i="8"/>
  <c r="F282" i="8"/>
  <c r="J281" i="8"/>
  <c r="I281" i="8"/>
  <c r="H281" i="8"/>
  <c r="G281" i="8"/>
  <c r="F281" i="8"/>
  <c r="J280" i="8"/>
  <c r="I280" i="8"/>
  <c r="H280" i="8"/>
  <c r="G280" i="8"/>
  <c r="F280" i="8"/>
  <c r="J279" i="8"/>
  <c r="I279" i="8"/>
  <c r="H279" i="8"/>
  <c r="G279" i="8"/>
  <c r="F279" i="8"/>
  <c r="J278" i="8"/>
  <c r="I278" i="8"/>
  <c r="H278" i="8"/>
  <c r="G278" i="8"/>
  <c r="F278" i="8"/>
  <c r="J277" i="8"/>
  <c r="I277" i="8"/>
  <c r="H277" i="8"/>
  <c r="G277" i="8"/>
  <c r="F277" i="8"/>
  <c r="J276" i="8"/>
  <c r="I276" i="8"/>
  <c r="H276" i="8"/>
  <c r="G276" i="8"/>
  <c r="F276" i="8"/>
  <c r="J275" i="8"/>
  <c r="I275" i="8"/>
  <c r="H275" i="8"/>
  <c r="G275" i="8"/>
  <c r="F275" i="8"/>
  <c r="J274" i="8"/>
  <c r="I274" i="8"/>
  <c r="H274" i="8"/>
  <c r="G274" i="8"/>
  <c r="F274" i="8"/>
  <c r="J273" i="8"/>
  <c r="I273" i="8"/>
  <c r="H273" i="8"/>
  <c r="G273" i="8"/>
  <c r="F273" i="8"/>
  <c r="J272" i="8"/>
  <c r="I272" i="8"/>
  <c r="H272" i="8"/>
  <c r="G272" i="8"/>
  <c r="F272" i="8"/>
  <c r="J271" i="8"/>
  <c r="I271" i="8"/>
  <c r="H271" i="8"/>
  <c r="G271" i="8"/>
  <c r="F271" i="8"/>
  <c r="J270" i="8"/>
  <c r="I270" i="8"/>
  <c r="H270" i="8"/>
  <c r="G270" i="8"/>
  <c r="F270" i="8"/>
  <c r="J269" i="8"/>
  <c r="I269" i="8"/>
  <c r="H269" i="8"/>
  <c r="G269" i="8"/>
  <c r="F269" i="8"/>
  <c r="J268" i="8"/>
  <c r="I268" i="8"/>
  <c r="H268" i="8"/>
  <c r="G268" i="8"/>
  <c r="F268" i="8"/>
  <c r="J267" i="8"/>
  <c r="I267" i="8"/>
  <c r="H267" i="8"/>
  <c r="G267" i="8"/>
  <c r="F267" i="8"/>
  <c r="J266" i="8"/>
  <c r="I266" i="8"/>
  <c r="H266" i="8"/>
  <c r="G266" i="8"/>
  <c r="F266" i="8"/>
  <c r="J265" i="8"/>
  <c r="I265" i="8"/>
  <c r="H265" i="8"/>
  <c r="G265" i="8"/>
  <c r="F265" i="8"/>
  <c r="J264" i="8"/>
  <c r="I264" i="8"/>
  <c r="H264" i="8"/>
  <c r="G264" i="8"/>
  <c r="F264" i="8"/>
  <c r="J263" i="8"/>
  <c r="I263" i="8"/>
  <c r="H263" i="8"/>
  <c r="G263" i="8"/>
  <c r="F263" i="8"/>
  <c r="J262" i="8"/>
  <c r="I262" i="8"/>
  <c r="H262" i="8"/>
  <c r="G262" i="8"/>
  <c r="F262" i="8"/>
  <c r="J261" i="8"/>
  <c r="I261" i="8"/>
  <c r="H261" i="8"/>
  <c r="G261" i="8"/>
  <c r="F261" i="8"/>
  <c r="J260" i="8"/>
  <c r="I260" i="8"/>
  <c r="H260" i="8"/>
  <c r="G260" i="8"/>
  <c r="F260" i="8"/>
  <c r="J259" i="8"/>
  <c r="I259" i="8"/>
  <c r="H259" i="8"/>
  <c r="G259" i="8"/>
  <c r="F259" i="8"/>
  <c r="J258" i="8"/>
  <c r="I258" i="8"/>
  <c r="H258" i="8"/>
  <c r="G258" i="8"/>
  <c r="F258" i="8"/>
  <c r="J257" i="8"/>
  <c r="I257" i="8"/>
  <c r="H257" i="8"/>
  <c r="G257" i="8"/>
  <c r="F257" i="8"/>
  <c r="J256" i="8"/>
  <c r="I256" i="8"/>
  <c r="H256" i="8"/>
  <c r="G256" i="8"/>
  <c r="F256" i="8"/>
  <c r="J255" i="8"/>
  <c r="I255" i="8"/>
  <c r="H255" i="8"/>
  <c r="G255" i="8"/>
  <c r="F255" i="8"/>
  <c r="J254" i="8"/>
  <c r="I254" i="8"/>
  <c r="H254" i="8"/>
  <c r="G254" i="8"/>
  <c r="F254" i="8"/>
  <c r="J253" i="8"/>
  <c r="I253" i="8"/>
  <c r="H253" i="8"/>
  <c r="G253" i="8"/>
  <c r="F253" i="8"/>
  <c r="J252" i="8"/>
  <c r="I252" i="8"/>
  <c r="H252" i="8"/>
  <c r="G252" i="8"/>
  <c r="F252" i="8"/>
  <c r="J251" i="8"/>
  <c r="I251" i="8"/>
  <c r="H251" i="8"/>
  <c r="G251" i="8"/>
  <c r="F251" i="8"/>
  <c r="J250" i="8"/>
  <c r="I250" i="8"/>
  <c r="H250" i="8"/>
  <c r="G250" i="8"/>
  <c r="F250" i="8"/>
  <c r="J249" i="8"/>
  <c r="I249" i="8"/>
  <c r="H249" i="8"/>
  <c r="G249" i="8"/>
  <c r="F249" i="8"/>
  <c r="J248" i="8"/>
  <c r="I248" i="8"/>
  <c r="H248" i="8"/>
  <c r="G248" i="8"/>
  <c r="F248" i="8"/>
  <c r="J247" i="8"/>
  <c r="I247" i="8"/>
  <c r="H247" i="8"/>
  <c r="G247" i="8"/>
  <c r="F247" i="8"/>
  <c r="J246" i="8"/>
  <c r="I246" i="8"/>
  <c r="H246" i="8"/>
  <c r="G246" i="8"/>
  <c r="F246" i="8"/>
  <c r="J245" i="8"/>
  <c r="I245" i="8"/>
  <c r="H245" i="8"/>
  <c r="G245" i="8"/>
  <c r="F245" i="8"/>
  <c r="J244" i="8"/>
  <c r="I244" i="8"/>
  <c r="H244" i="8"/>
  <c r="G244" i="8"/>
  <c r="F244" i="8"/>
  <c r="J243" i="8"/>
  <c r="I243" i="8"/>
  <c r="H243" i="8"/>
  <c r="G243" i="8"/>
  <c r="F243" i="8"/>
  <c r="J242" i="8"/>
  <c r="I242" i="8"/>
  <c r="H242" i="8"/>
  <c r="G242" i="8"/>
  <c r="F242" i="8"/>
  <c r="J241" i="8"/>
  <c r="I241" i="8"/>
  <c r="H241" i="8"/>
  <c r="G241" i="8"/>
  <c r="F241" i="8"/>
  <c r="J240" i="8"/>
  <c r="I240" i="8"/>
  <c r="H240" i="8"/>
  <c r="G240" i="8"/>
  <c r="F240" i="8"/>
  <c r="J239" i="8"/>
  <c r="I239" i="8"/>
  <c r="H239" i="8"/>
  <c r="G239" i="8"/>
  <c r="F239" i="8"/>
  <c r="J238" i="8"/>
  <c r="I238" i="8"/>
  <c r="H238" i="8"/>
  <c r="G238" i="8"/>
  <c r="F238" i="8"/>
  <c r="J237" i="8"/>
  <c r="I237" i="8"/>
  <c r="H237" i="8"/>
  <c r="G237" i="8"/>
  <c r="F237" i="8"/>
  <c r="J236" i="8"/>
  <c r="I236" i="8"/>
  <c r="H236" i="8"/>
  <c r="G236" i="8"/>
  <c r="F236" i="8"/>
  <c r="J235" i="8"/>
  <c r="I235" i="8"/>
  <c r="H235" i="8"/>
  <c r="G235" i="8"/>
  <c r="F235" i="8"/>
  <c r="J234" i="8"/>
  <c r="I234" i="8"/>
  <c r="H234" i="8"/>
  <c r="G234" i="8"/>
  <c r="F234" i="8"/>
  <c r="J233" i="8"/>
  <c r="I233" i="8"/>
  <c r="H233" i="8"/>
  <c r="G233" i="8"/>
  <c r="F233" i="8"/>
  <c r="J232" i="8"/>
  <c r="I232" i="8"/>
  <c r="H232" i="8"/>
  <c r="G232" i="8"/>
  <c r="F232" i="8"/>
  <c r="J231" i="8"/>
  <c r="I231" i="8"/>
  <c r="H231" i="8"/>
  <c r="G231" i="8"/>
  <c r="F231" i="8"/>
  <c r="J230" i="8"/>
  <c r="I230" i="8"/>
  <c r="H230" i="8"/>
  <c r="G230" i="8"/>
  <c r="F230" i="8"/>
  <c r="J229" i="8"/>
  <c r="I229" i="8"/>
  <c r="H229" i="8"/>
  <c r="G229" i="8"/>
  <c r="F229" i="8"/>
  <c r="J228" i="8"/>
  <c r="I228" i="8"/>
  <c r="H228" i="8"/>
  <c r="G228" i="8"/>
  <c r="F228" i="8"/>
  <c r="J227" i="8"/>
  <c r="I227" i="8"/>
  <c r="H227" i="8"/>
  <c r="G227" i="8"/>
  <c r="F227" i="8"/>
  <c r="J226" i="8"/>
  <c r="I226" i="8"/>
  <c r="H226" i="8"/>
  <c r="G226" i="8"/>
  <c r="F226" i="8"/>
  <c r="J225" i="8"/>
  <c r="I225" i="8"/>
  <c r="H225" i="8"/>
  <c r="G225" i="8"/>
  <c r="F225" i="8"/>
  <c r="J224" i="8"/>
  <c r="I224" i="8"/>
  <c r="H224" i="8"/>
  <c r="G224" i="8"/>
  <c r="F224" i="8"/>
  <c r="J223" i="8"/>
  <c r="I223" i="8"/>
  <c r="H223" i="8"/>
  <c r="G223" i="8"/>
  <c r="F223" i="8"/>
  <c r="J222" i="8"/>
  <c r="I222" i="8"/>
  <c r="H222" i="8"/>
  <c r="G222" i="8"/>
  <c r="F222" i="8"/>
  <c r="J221" i="8"/>
  <c r="I221" i="8"/>
  <c r="H221" i="8"/>
  <c r="G221" i="8"/>
  <c r="F221" i="8"/>
  <c r="J220" i="8"/>
  <c r="I220" i="8"/>
  <c r="H220" i="8"/>
  <c r="G220" i="8"/>
  <c r="F220" i="8"/>
  <c r="J219" i="8"/>
  <c r="I219" i="8"/>
  <c r="H219" i="8"/>
  <c r="G219" i="8"/>
  <c r="F219" i="8"/>
  <c r="J218" i="8"/>
  <c r="I218" i="8"/>
  <c r="H218" i="8"/>
  <c r="G218" i="8"/>
  <c r="F218" i="8"/>
  <c r="J217" i="8"/>
  <c r="I217" i="8"/>
  <c r="H217" i="8"/>
  <c r="G217" i="8"/>
  <c r="F217" i="8"/>
  <c r="J216" i="8"/>
  <c r="I216" i="8"/>
  <c r="H216" i="8"/>
  <c r="G216" i="8"/>
  <c r="F216" i="8"/>
  <c r="J215" i="8"/>
  <c r="I215" i="8"/>
  <c r="H215" i="8"/>
  <c r="G215" i="8"/>
  <c r="F215" i="8"/>
  <c r="J214" i="8"/>
  <c r="I214" i="8"/>
  <c r="H214" i="8"/>
  <c r="G214" i="8"/>
  <c r="F214" i="8"/>
  <c r="J213" i="8"/>
  <c r="I213" i="8"/>
  <c r="H213" i="8"/>
  <c r="G213" i="8"/>
  <c r="F213" i="8"/>
  <c r="J212" i="8"/>
  <c r="I212" i="8"/>
  <c r="H212" i="8"/>
  <c r="G212" i="8"/>
  <c r="F212" i="8"/>
  <c r="J211" i="8"/>
  <c r="I211" i="8"/>
  <c r="H211" i="8"/>
  <c r="G211" i="8"/>
  <c r="F211" i="8"/>
  <c r="J210" i="8"/>
  <c r="I210" i="8"/>
  <c r="H210" i="8"/>
  <c r="G210" i="8"/>
  <c r="F210" i="8"/>
  <c r="J209" i="8"/>
  <c r="I209" i="8"/>
  <c r="H209" i="8"/>
  <c r="G209" i="8"/>
  <c r="F209" i="8"/>
  <c r="J208" i="8"/>
  <c r="I208" i="8"/>
  <c r="H208" i="8"/>
  <c r="G208" i="8"/>
  <c r="F208" i="8"/>
  <c r="J207" i="8"/>
  <c r="I207" i="8"/>
  <c r="H207" i="8"/>
  <c r="G207" i="8"/>
  <c r="F207" i="8"/>
  <c r="J206" i="8"/>
  <c r="I206" i="8"/>
  <c r="H206" i="8"/>
  <c r="G206" i="8"/>
  <c r="F206" i="8"/>
  <c r="J205" i="8"/>
  <c r="I205" i="8"/>
  <c r="H205" i="8"/>
  <c r="G205" i="8"/>
  <c r="F205" i="8"/>
  <c r="J204" i="8"/>
  <c r="I204" i="8"/>
  <c r="H204" i="8"/>
  <c r="G204" i="8"/>
  <c r="F204" i="8"/>
  <c r="J203" i="8"/>
  <c r="I203" i="8"/>
  <c r="H203" i="8"/>
  <c r="G203" i="8"/>
  <c r="F203" i="8"/>
  <c r="J202" i="8"/>
  <c r="I202" i="8"/>
  <c r="H202" i="8"/>
  <c r="G202" i="8"/>
  <c r="F202" i="8"/>
  <c r="J201" i="8"/>
  <c r="I201" i="8"/>
  <c r="H201" i="8"/>
  <c r="G201" i="8"/>
  <c r="F201" i="8"/>
  <c r="J200" i="8"/>
  <c r="I200" i="8"/>
  <c r="H200" i="8"/>
  <c r="G200" i="8"/>
  <c r="F200" i="8"/>
  <c r="J199" i="8"/>
  <c r="I199" i="8"/>
  <c r="H199" i="8"/>
  <c r="G199" i="8"/>
  <c r="F199" i="8"/>
  <c r="J198" i="8"/>
  <c r="I198" i="8"/>
  <c r="H198" i="8"/>
  <c r="G198" i="8"/>
  <c r="F198" i="8"/>
  <c r="J197" i="8"/>
  <c r="I197" i="8"/>
  <c r="H197" i="8"/>
  <c r="G197" i="8"/>
  <c r="F197" i="8"/>
  <c r="J196" i="8"/>
  <c r="I196" i="8"/>
  <c r="H196" i="8"/>
  <c r="G196" i="8"/>
  <c r="F196" i="8"/>
  <c r="J195" i="8"/>
  <c r="I195" i="8"/>
  <c r="H195" i="8"/>
  <c r="G195" i="8"/>
  <c r="F195" i="8"/>
  <c r="J194" i="8"/>
  <c r="I194" i="8"/>
  <c r="H194" i="8"/>
  <c r="G194" i="8"/>
  <c r="F194" i="8"/>
  <c r="J193" i="8"/>
  <c r="I193" i="8"/>
  <c r="H193" i="8"/>
  <c r="G193" i="8"/>
  <c r="F193" i="8"/>
  <c r="J192" i="8"/>
  <c r="I192" i="8"/>
  <c r="H192" i="8"/>
  <c r="G192" i="8"/>
  <c r="F192" i="8"/>
  <c r="J191" i="8"/>
  <c r="I191" i="8"/>
  <c r="H191" i="8"/>
  <c r="G191" i="8"/>
  <c r="F191" i="8"/>
  <c r="J190" i="8"/>
  <c r="I190" i="8"/>
  <c r="H190" i="8"/>
  <c r="G190" i="8"/>
  <c r="F190" i="8"/>
  <c r="J189" i="8"/>
  <c r="I189" i="8"/>
  <c r="H189" i="8"/>
  <c r="G189" i="8"/>
  <c r="F189" i="8"/>
  <c r="J188" i="8"/>
  <c r="I188" i="8"/>
  <c r="H188" i="8"/>
  <c r="G188" i="8"/>
  <c r="F188" i="8"/>
  <c r="J187" i="8"/>
  <c r="I187" i="8"/>
  <c r="H187" i="8"/>
  <c r="G187" i="8"/>
  <c r="F187" i="8"/>
  <c r="J186" i="8"/>
  <c r="I186" i="8"/>
  <c r="H186" i="8"/>
  <c r="G186" i="8"/>
  <c r="F186" i="8"/>
  <c r="J185" i="8"/>
  <c r="I185" i="8"/>
  <c r="H185" i="8"/>
  <c r="G185" i="8"/>
  <c r="F185" i="8"/>
  <c r="J184" i="8"/>
  <c r="I184" i="8"/>
  <c r="H184" i="8"/>
  <c r="G184" i="8"/>
  <c r="F184" i="8"/>
  <c r="J183" i="8"/>
  <c r="I183" i="8"/>
  <c r="H183" i="8"/>
  <c r="G183" i="8"/>
  <c r="F183" i="8"/>
  <c r="J182" i="8"/>
  <c r="I182" i="8"/>
  <c r="H182" i="8"/>
  <c r="G182" i="8"/>
  <c r="F182" i="8"/>
  <c r="J181" i="8"/>
  <c r="I181" i="8"/>
  <c r="H181" i="8"/>
  <c r="G181" i="8"/>
  <c r="F181" i="8"/>
  <c r="J180" i="8"/>
  <c r="I180" i="8"/>
  <c r="H180" i="8"/>
  <c r="G180" i="8"/>
  <c r="F180" i="8"/>
  <c r="J179" i="8"/>
  <c r="I179" i="8"/>
  <c r="H179" i="8"/>
  <c r="G179" i="8"/>
  <c r="F179" i="8"/>
  <c r="J178" i="8"/>
  <c r="I178" i="8"/>
  <c r="H178" i="8"/>
  <c r="G178" i="8"/>
  <c r="F178" i="8"/>
  <c r="J177" i="8"/>
  <c r="I177" i="8"/>
  <c r="H177" i="8"/>
  <c r="G177" i="8"/>
  <c r="F177" i="8"/>
  <c r="J176" i="8"/>
  <c r="I176" i="8"/>
  <c r="H176" i="8"/>
  <c r="G176" i="8"/>
  <c r="F176" i="8"/>
  <c r="J175" i="8"/>
  <c r="I175" i="8"/>
  <c r="H175" i="8"/>
  <c r="G175" i="8"/>
  <c r="F175" i="8"/>
  <c r="J174" i="8"/>
  <c r="I174" i="8"/>
  <c r="H174" i="8"/>
  <c r="G174" i="8"/>
  <c r="F174" i="8"/>
  <c r="J173" i="8"/>
  <c r="I173" i="8"/>
  <c r="H173" i="8"/>
  <c r="G173" i="8"/>
  <c r="F173" i="8"/>
  <c r="J172" i="8"/>
  <c r="I172" i="8"/>
  <c r="H172" i="8"/>
  <c r="G172" i="8"/>
  <c r="F172" i="8"/>
  <c r="J171" i="8"/>
  <c r="I171" i="8"/>
  <c r="H171" i="8"/>
  <c r="G171" i="8"/>
  <c r="F171" i="8"/>
  <c r="J170" i="8"/>
  <c r="I170" i="8"/>
  <c r="H170" i="8"/>
  <c r="G170" i="8"/>
  <c r="F170" i="8"/>
  <c r="J169" i="8"/>
  <c r="I169" i="8"/>
  <c r="H169" i="8"/>
  <c r="G169" i="8"/>
  <c r="F169" i="8"/>
  <c r="J168" i="8"/>
  <c r="I168" i="8"/>
  <c r="H168" i="8"/>
  <c r="G168" i="8"/>
  <c r="F168" i="8"/>
  <c r="J167" i="8"/>
  <c r="I167" i="8"/>
  <c r="H167" i="8"/>
  <c r="G167" i="8"/>
  <c r="F167" i="8"/>
  <c r="J166" i="8"/>
  <c r="I166" i="8"/>
  <c r="H166" i="8"/>
  <c r="G166" i="8"/>
  <c r="F166" i="8"/>
  <c r="J165" i="8"/>
  <c r="I165" i="8"/>
  <c r="H165" i="8"/>
  <c r="G165" i="8"/>
  <c r="F165" i="8"/>
  <c r="J164" i="8"/>
  <c r="I164" i="8"/>
  <c r="H164" i="8"/>
  <c r="G164" i="8"/>
  <c r="F164" i="8"/>
  <c r="J163" i="8"/>
  <c r="I163" i="8"/>
  <c r="H163" i="8"/>
  <c r="G163" i="8"/>
  <c r="F163" i="8"/>
  <c r="J162" i="8"/>
  <c r="I162" i="8"/>
  <c r="H162" i="8"/>
  <c r="G162" i="8"/>
  <c r="F162" i="8"/>
  <c r="J161" i="8"/>
  <c r="I161" i="8"/>
  <c r="H161" i="8"/>
  <c r="G161" i="8"/>
  <c r="F161" i="8"/>
  <c r="J160" i="8"/>
  <c r="I160" i="8"/>
  <c r="H160" i="8"/>
  <c r="G160" i="8"/>
  <c r="F160" i="8"/>
  <c r="J159" i="8"/>
  <c r="I159" i="8"/>
  <c r="H159" i="8"/>
  <c r="G159" i="8"/>
  <c r="F159" i="8"/>
  <c r="J158" i="8"/>
  <c r="I158" i="8"/>
  <c r="H158" i="8"/>
  <c r="G158" i="8"/>
  <c r="F158" i="8"/>
  <c r="J157" i="8"/>
  <c r="I157" i="8"/>
  <c r="H157" i="8"/>
  <c r="G157" i="8"/>
  <c r="F157" i="8"/>
  <c r="J156" i="8"/>
  <c r="I156" i="8"/>
  <c r="H156" i="8"/>
  <c r="G156" i="8"/>
  <c r="F156" i="8"/>
  <c r="J155" i="8"/>
  <c r="I155" i="8"/>
  <c r="H155" i="8"/>
  <c r="G155" i="8"/>
  <c r="F155" i="8"/>
  <c r="J154" i="8"/>
  <c r="I154" i="8"/>
  <c r="H154" i="8"/>
  <c r="G154" i="8"/>
  <c r="F154" i="8"/>
  <c r="J153" i="8"/>
  <c r="I153" i="8"/>
  <c r="H153" i="8"/>
  <c r="G153" i="8"/>
  <c r="F153" i="8"/>
  <c r="J152" i="8"/>
  <c r="I152" i="8"/>
  <c r="H152" i="8"/>
  <c r="G152" i="8"/>
  <c r="F152" i="8"/>
  <c r="J151" i="8"/>
  <c r="I151" i="8"/>
  <c r="H151" i="8"/>
  <c r="G151" i="8"/>
  <c r="F151" i="8"/>
  <c r="J150" i="8"/>
  <c r="I150" i="8"/>
  <c r="H150" i="8"/>
  <c r="G150" i="8"/>
  <c r="F150" i="8"/>
  <c r="J149" i="8"/>
  <c r="I149" i="8"/>
  <c r="H149" i="8"/>
  <c r="G149" i="8"/>
  <c r="F149" i="8"/>
  <c r="J148" i="8"/>
  <c r="I148" i="8"/>
  <c r="H148" i="8"/>
  <c r="G148" i="8"/>
  <c r="F148" i="8"/>
  <c r="J147" i="8"/>
  <c r="I147" i="8"/>
  <c r="H147" i="8"/>
  <c r="G147" i="8"/>
  <c r="F147" i="8"/>
  <c r="J146" i="8"/>
  <c r="I146" i="8"/>
  <c r="H146" i="8"/>
  <c r="G146" i="8"/>
  <c r="F146" i="8"/>
  <c r="J145" i="8"/>
  <c r="I145" i="8"/>
  <c r="H145" i="8"/>
  <c r="G145" i="8"/>
  <c r="F145" i="8"/>
  <c r="J144" i="8"/>
  <c r="I144" i="8"/>
  <c r="H144" i="8"/>
  <c r="G144" i="8"/>
  <c r="F144" i="8"/>
  <c r="J143" i="8"/>
  <c r="I143" i="8"/>
  <c r="H143" i="8"/>
  <c r="G143" i="8"/>
  <c r="F143" i="8"/>
  <c r="J142" i="8"/>
  <c r="I142" i="8"/>
  <c r="H142" i="8"/>
  <c r="G142" i="8"/>
  <c r="F142" i="8"/>
  <c r="J141" i="8"/>
  <c r="I141" i="8"/>
  <c r="H141" i="8"/>
  <c r="G141" i="8"/>
  <c r="F141" i="8"/>
  <c r="J140" i="8"/>
  <c r="I140" i="8"/>
  <c r="H140" i="8"/>
  <c r="G140" i="8"/>
  <c r="F140" i="8"/>
  <c r="J139" i="8"/>
  <c r="I139" i="8"/>
  <c r="H139" i="8"/>
  <c r="G139" i="8"/>
  <c r="F139" i="8"/>
  <c r="J138" i="8"/>
  <c r="I138" i="8"/>
  <c r="H138" i="8"/>
  <c r="G138" i="8"/>
  <c r="F138" i="8"/>
  <c r="J137" i="8"/>
  <c r="I137" i="8"/>
  <c r="H137" i="8"/>
  <c r="G137" i="8"/>
  <c r="F137" i="8"/>
  <c r="J136" i="8"/>
  <c r="I136" i="8"/>
  <c r="H136" i="8"/>
  <c r="G136" i="8"/>
  <c r="F136" i="8"/>
  <c r="J135" i="8"/>
  <c r="I135" i="8"/>
  <c r="H135" i="8"/>
  <c r="G135" i="8"/>
  <c r="F135" i="8"/>
  <c r="J134" i="8"/>
  <c r="I134" i="8"/>
  <c r="H134" i="8"/>
  <c r="G134" i="8"/>
  <c r="F134" i="8"/>
  <c r="J133" i="8"/>
  <c r="I133" i="8"/>
  <c r="H133" i="8"/>
  <c r="G133" i="8"/>
  <c r="F133" i="8"/>
  <c r="J132" i="8"/>
  <c r="I132" i="8"/>
  <c r="H132" i="8"/>
  <c r="G132" i="8"/>
  <c r="F132" i="8"/>
  <c r="J131" i="8"/>
  <c r="I131" i="8"/>
  <c r="H131" i="8"/>
  <c r="G131" i="8"/>
  <c r="F131" i="8"/>
  <c r="J130" i="8"/>
  <c r="I130" i="8"/>
  <c r="H130" i="8"/>
  <c r="G130" i="8"/>
  <c r="F130" i="8"/>
  <c r="J129" i="8"/>
  <c r="I129" i="8"/>
  <c r="H129" i="8"/>
  <c r="G129" i="8"/>
  <c r="F129" i="8"/>
  <c r="J128" i="8"/>
  <c r="I128" i="8"/>
  <c r="H128" i="8"/>
  <c r="G128" i="8"/>
  <c r="F128" i="8"/>
  <c r="J127" i="8"/>
  <c r="I127" i="8"/>
  <c r="H127" i="8"/>
  <c r="G127" i="8"/>
  <c r="F127" i="8"/>
  <c r="J126" i="8"/>
  <c r="I126" i="8"/>
  <c r="H126" i="8"/>
  <c r="G126" i="8"/>
  <c r="F126" i="8"/>
  <c r="J125" i="8"/>
  <c r="I125" i="8"/>
  <c r="H125" i="8"/>
  <c r="G125" i="8"/>
  <c r="F125" i="8"/>
  <c r="J124" i="8"/>
  <c r="I124" i="8"/>
  <c r="H124" i="8"/>
  <c r="G124" i="8"/>
  <c r="F124" i="8"/>
  <c r="J123" i="8"/>
  <c r="I123" i="8"/>
  <c r="H123" i="8"/>
  <c r="G123" i="8"/>
  <c r="F123" i="8"/>
  <c r="J122" i="8"/>
  <c r="I122" i="8"/>
  <c r="H122" i="8"/>
  <c r="G122" i="8"/>
  <c r="F122" i="8"/>
  <c r="J121" i="8"/>
  <c r="I121" i="8"/>
  <c r="H121" i="8"/>
  <c r="G121" i="8"/>
  <c r="F121" i="8"/>
  <c r="J120" i="8"/>
  <c r="I120" i="8"/>
  <c r="H120" i="8"/>
  <c r="G120" i="8"/>
  <c r="F120" i="8"/>
  <c r="J119" i="8"/>
  <c r="I119" i="8"/>
  <c r="H119" i="8"/>
  <c r="G119" i="8"/>
  <c r="F119" i="8"/>
  <c r="J118" i="8"/>
  <c r="I118" i="8"/>
  <c r="H118" i="8"/>
  <c r="G118" i="8"/>
  <c r="F118" i="8"/>
  <c r="J117" i="8"/>
  <c r="I117" i="8"/>
  <c r="H117" i="8"/>
  <c r="G117" i="8"/>
  <c r="F117" i="8"/>
  <c r="J116" i="8"/>
  <c r="I116" i="8"/>
  <c r="H116" i="8"/>
  <c r="G116" i="8"/>
  <c r="F116" i="8"/>
  <c r="J115" i="8"/>
  <c r="I115" i="8"/>
  <c r="H115" i="8"/>
  <c r="G115" i="8"/>
  <c r="F115" i="8"/>
  <c r="J114" i="8"/>
  <c r="I114" i="8"/>
  <c r="H114" i="8"/>
  <c r="G114" i="8"/>
  <c r="F114" i="8"/>
  <c r="J113" i="8"/>
  <c r="I113" i="8"/>
  <c r="H113" i="8"/>
  <c r="G113" i="8"/>
  <c r="F113" i="8"/>
  <c r="J112" i="8"/>
  <c r="I112" i="8"/>
  <c r="H112" i="8"/>
  <c r="G112" i="8"/>
  <c r="F112" i="8"/>
  <c r="J111" i="8"/>
  <c r="I111" i="8"/>
  <c r="H111" i="8"/>
  <c r="G111" i="8"/>
  <c r="F111" i="8"/>
  <c r="J110" i="8"/>
  <c r="I110" i="8"/>
  <c r="H110" i="8"/>
  <c r="G110" i="8"/>
  <c r="F110" i="8"/>
  <c r="J109" i="8"/>
  <c r="I109" i="8"/>
  <c r="H109" i="8"/>
  <c r="G109" i="8"/>
  <c r="F109" i="8"/>
  <c r="J108" i="8"/>
  <c r="I108" i="8"/>
  <c r="H108" i="8"/>
  <c r="G108" i="8"/>
  <c r="F108" i="8"/>
  <c r="J107" i="8"/>
  <c r="I107" i="8"/>
  <c r="H107" i="8"/>
  <c r="G107" i="8"/>
  <c r="F107" i="8"/>
  <c r="J106" i="8"/>
  <c r="I106" i="8"/>
  <c r="H106" i="8"/>
  <c r="G106" i="8"/>
  <c r="F106" i="8"/>
  <c r="J105" i="8"/>
  <c r="I105" i="8"/>
  <c r="H105" i="8"/>
  <c r="G105" i="8"/>
  <c r="F105" i="8"/>
  <c r="J104" i="8"/>
  <c r="I104" i="8"/>
  <c r="H104" i="8"/>
  <c r="G104" i="8"/>
  <c r="F104" i="8"/>
  <c r="J103" i="8"/>
  <c r="I103" i="8"/>
  <c r="H103" i="8"/>
  <c r="G103" i="8"/>
  <c r="F103" i="8"/>
  <c r="J102" i="8"/>
  <c r="I102" i="8"/>
  <c r="H102" i="8"/>
  <c r="G102" i="8"/>
  <c r="F102" i="8"/>
  <c r="J101" i="8"/>
  <c r="I101" i="8"/>
  <c r="H101" i="8"/>
  <c r="G101" i="8"/>
  <c r="F101" i="8"/>
  <c r="J100" i="8"/>
  <c r="I100" i="8"/>
  <c r="H100" i="8"/>
  <c r="G100" i="8"/>
  <c r="F100" i="8"/>
  <c r="J99" i="8"/>
  <c r="I99" i="8"/>
  <c r="H99" i="8"/>
  <c r="G99" i="8"/>
  <c r="F99" i="8"/>
  <c r="J98" i="8"/>
  <c r="I98" i="8"/>
  <c r="H98" i="8"/>
  <c r="G98" i="8"/>
  <c r="F98" i="8"/>
  <c r="J97" i="8"/>
  <c r="I97" i="8"/>
  <c r="H97" i="8"/>
  <c r="G97" i="8"/>
  <c r="F97" i="8"/>
  <c r="J96" i="8"/>
  <c r="I96" i="8"/>
  <c r="H96" i="8"/>
  <c r="G96" i="8"/>
  <c r="F96" i="8"/>
  <c r="J95" i="8"/>
  <c r="I95" i="8"/>
  <c r="H95" i="8"/>
  <c r="G95" i="8"/>
  <c r="F95" i="8"/>
  <c r="J94" i="8"/>
  <c r="I94" i="8"/>
  <c r="H94" i="8"/>
  <c r="G94" i="8"/>
  <c r="F94" i="8"/>
  <c r="J93" i="8"/>
  <c r="I93" i="8"/>
  <c r="H93" i="8"/>
  <c r="G93" i="8"/>
  <c r="F93" i="8"/>
  <c r="J92" i="8"/>
  <c r="I92" i="8"/>
  <c r="H92" i="8"/>
  <c r="G92" i="8"/>
  <c r="F92" i="8"/>
  <c r="J91" i="8"/>
  <c r="I91" i="8"/>
  <c r="H91" i="8"/>
  <c r="G91" i="8"/>
  <c r="F91" i="8"/>
  <c r="J90" i="8"/>
  <c r="I90" i="8"/>
  <c r="H90" i="8"/>
  <c r="G90" i="8"/>
  <c r="F90" i="8"/>
  <c r="J89" i="8"/>
  <c r="I89" i="8"/>
  <c r="H89" i="8"/>
  <c r="G89" i="8"/>
  <c r="F89" i="8"/>
  <c r="J88" i="8"/>
  <c r="I88" i="8"/>
  <c r="H88" i="8"/>
  <c r="G88" i="8"/>
  <c r="F88" i="8"/>
  <c r="J87" i="8"/>
  <c r="I87" i="8"/>
  <c r="H87" i="8"/>
  <c r="G87" i="8"/>
  <c r="F87" i="8"/>
  <c r="J86" i="8"/>
  <c r="I86" i="8"/>
  <c r="H86" i="8"/>
  <c r="G86" i="8"/>
  <c r="F86" i="8"/>
  <c r="J85" i="8"/>
  <c r="I85" i="8"/>
  <c r="H85" i="8"/>
  <c r="G85" i="8"/>
  <c r="F85" i="8"/>
  <c r="J84" i="8"/>
  <c r="I84" i="8"/>
  <c r="H84" i="8"/>
  <c r="G84" i="8"/>
  <c r="F84" i="8"/>
  <c r="J83" i="8"/>
  <c r="I83" i="8"/>
  <c r="H83" i="8"/>
  <c r="G83" i="8"/>
  <c r="F83" i="8"/>
  <c r="J82" i="8"/>
  <c r="I82" i="8"/>
  <c r="H82" i="8"/>
  <c r="G82" i="8"/>
  <c r="F82" i="8"/>
  <c r="J81" i="8"/>
  <c r="I81" i="8"/>
  <c r="H81" i="8"/>
  <c r="G81" i="8"/>
  <c r="F81" i="8"/>
  <c r="J80" i="8"/>
  <c r="I80" i="8"/>
  <c r="H80" i="8"/>
  <c r="G80" i="8"/>
  <c r="F80" i="8"/>
  <c r="J79" i="8"/>
  <c r="I79" i="8"/>
  <c r="H79" i="8"/>
  <c r="G79" i="8"/>
  <c r="F79" i="8"/>
  <c r="J78" i="8"/>
  <c r="I78" i="8"/>
  <c r="H78" i="8"/>
  <c r="G78" i="8"/>
  <c r="F78" i="8"/>
  <c r="J77" i="8"/>
  <c r="I77" i="8"/>
  <c r="H77" i="8"/>
  <c r="G77" i="8"/>
  <c r="F77" i="8"/>
  <c r="J76" i="8"/>
  <c r="I76" i="8"/>
  <c r="H76" i="8"/>
  <c r="G76" i="8"/>
  <c r="F76" i="8"/>
  <c r="J75" i="8"/>
  <c r="I75" i="8"/>
  <c r="H75" i="8"/>
  <c r="G75" i="8"/>
  <c r="F75" i="8"/>
  <c r="J74" i="8"/>
  <c r="I74" i="8"/>
  <c r="H74" i="8"/>
  <c r="G74" i="8"/>
  <c r="F74" i="8"/>
  <c r="J73" i="8"/>
  <c r="I73" i="8"/>
  <c r="H73" i="8"/>
  <c r="G73" i="8"/>
  <c r="F73" i="8"/>
  <c r="J72" i="8"/>
  <c r="I72" i="8"/>
  <c r="H72" i="8"/>
  <c r="G72" i="8"/>
  <c r="F72" i="8"/>
  <c r="J71" i="8"/>
  <c r="I71" i="8"/>
  <c r="H71" i="8"/>
  <c r="G71" i="8"/>
  <c r="F71" i="8"/>
  <c r="J70" i="8"/>
  <c r="I70" i="8"/>
  <c r="H70" i="8"/>
  <c r="G70" i="8"/>
  <c r="F70" i="8"/>
  <c r="J69" i="8"/>
  <c r="I69" i="8"/>
  <c r="H69" i="8"/>
  <c r="G69" i="8"/>
  <c r="F69" i="8"/>
  <c r="J68" i="8"/>
  <c r="I68" i="8"/>
  <c r="H68" i="8"/>
  <c r="G68" i="8"/>
  <c r="F68" i="8"/>
  <c r="J67" i="8"/>
  <c r="I67" i="8"/>
  <c r="H67" i="8"/>
  <c r="G67" i="8"/>
  <c r="F67" i="8"/>
  <c r="J66" i="8"/>
  <c r="I66" i="8"/>
  <c r="H66" i="8"/>
  <c r="G66" i="8"/>
  <c r="F66" i="8"/>
  <c r="J65" i="8"/>
  <c r="I65" i="8"/>
  <c r="H65" i="8"/>
  <c r="G65" i="8"/>
  <c r="F65" i="8"/>
  <c r="J64" i="8"/>
  <c r="I64" i="8"/>
  <c r="H64" i="8"/>
  <c r="G64" i="8"/>
  <c r="F64" i="8"/>
  <c r="J63" i="8"/>
  <c r="I63" i="8"/>
  <c r="H63" i="8"/>
  <c r="G63" i="8"/>
  <c r="F63" i="8"/>
  <c r="J62" i="8"/>
  <c r="I62" i="8"/>
  <c r="H62" i="8"/>
  <c r="G62" i="8"/>
  <c r="F62" i="8"/>
  <c r="J61" i="8"/>
  <c r="I61" i="8"/>
  <c r="H61" i="8"/>
  <c r="G61" i="8"/>
  <c r="F61" i="8"/>
  <c r="J60" i="8"/>
  <c r="I60" i="8"/>
  <c r="H60" i="8"/>
  <c r="G60" i="8"/>
  <c r="F60" i="8"/>
  <c r="J59" i="8"/>
  <c r="I59" i="8"/>
  <c r="H59" i="8"/>
  <c r="G59" i="8"/>
  <c r="F59" i="8"/>
  <c r="J58" i="8"/>
  <c r="I58" i="8"/>
  <c r="H58" i="8"/>
  <c r="G58" i="8"/>
  <c r="F58" i="8"/>
  <c r="J57" i="8"/>
  <c r="I57" i="8"/>
  <c r="H57" i="8"/>
  <c r="G57" i="8"/>
  <c r="F57" i="8"/>
  <c r="J56" i="8"/>
  <c r="I56" i="8"/>
  <c r="H56" i="8"/>
  <c r="G56" i="8"/>
  <c r="F56" i="8"/>
  <c r="J55" i="8"/>
  <c r="I55" i="8"/>
  <c r="H55" i="8"/>
  <c r="G55" i="8"/>
  <c r="F55" i="8"/>
  <c r="J54" i="8"/>
  <c r="I54" i="8"/>
  <c r="H54" i="8"/>
  <c r="G54" i="8"/>
  <c r="F54" i="8"/>
  <c r="J53" i="8"/>
  <c r="I53" i="8"/>
  <c r="H53" i="8"/>
  <c r="G53" i="8"/>
  <c r="F53" i="8"/>
  <c r="J52" i="8"/>
  <c r="I52" i="8"/>
  <c r="H52" i="8"/>
  <c r="G52" i="8"/>
  <c r="F52" i="8"/>
  <c r="J51" i="8"/>
  <c r="I51" i="8"/>
  <c r="H51" i="8"/>
  <c r="G51" i="8"/>
  <c r="F51" i="8"/>
  <c r="J50" i="8"/>
  <c r="I50" i="8"/>
  <c r="H50" i="8"/>
  <c r="G50" i="8"/>
  <c r="F50" i="8"/>
  <c r="J49" i="8"/>
  <c r="I49" i="8"/>
  <c r="H49" i="8"/>
  <c r="G49" i="8"/>
  <c r="F49" i="8"/>
  <c r="J48" i="8"/>
  <c r="I48" i="8"/>
  <c r="H48" i="8"/>
  <c r="G48" i="8"/>
  <c r="F48" i="8"/>
  <c r="J47" i="8"/>
  <c r="I47" i="8"/>
  <c r="H47" i="8"/>
  <c r="G47" i="8"/>
  <c r="F47" i="8"/>
  <c r="J46" i="8"/>
  <c r="I46" i="8"/>
  <c r="H46" i="8"/>
  <c r="G46" i="8"/>
  <c r="F46" i="8"/>
  <c r="J45" i="8"/>
  <c r="I45" i="8"/>
  <c r="H45" i="8"/>
  <c r="G45" i="8"/>
  <c r="F45" i="8"/>
  <c r="J44" i="8"/>
  <c r="I44" i="8"/>
  <c r="H44" i="8"/>
  <c r="G44" i="8"/>
  <c r="F44" i="8"/>
  <c r="J43" i="8"/>
  <c r="I43" i="8"/>
  <c r="H43" i="8"/>
  <c r="G43" i="8"/>
  <c r="F43" i="8"/>
  <c r="J42" i="8"/>
  <c r="I42" i="8"/>
  <c r="H42" i="8"/>
  <c r="G42" i="8"/>
  <c r="F42" i="8"/>
  <c r="J41" i="8"/>
  <c r="I41" i="8"/>
  <c r="H41" i="8"/>
  <c r="G41" i="8"/>
  <c r="F41" i="8"/>
  <c r="J40" i="8"/>
  <c r="I40" i="8"/>
  <c r="H40" i="8"/>
  <c r="G40" i="8"/>
  <c r="F40" i="8"/>
  <c r="J39" i="8"/>
  <c r="I39" i="8"/>
  <c r="H39" i="8"/>
  <c r="G39" i="8"/>
  <c r="F39" i="8"/>
  <c r="J38" i="8"/>
  <c r="I38" i="8"/>
  <c r="H38" i="8"/>
  <c r="G38" i="8"/>
  <c r="F38" i="8"/>
  <c r="J37" i="8"/>
  <c r="I37" i="8"/>
  <c r="H37" i="8"/>
  <c r="G37" i="8"/>
  <c r="F37" i="8"/>
  <c r="J36" i="8"/>
  <c r="I36" i="8"/>
  <c r="H36" i="8"/>
  <c r="G36" i="8"/>
  <c r="F36" i="8"/>
  <c r="J35" i="8"/>
  <c r="I35" i="8"/>
  <c r="H35" i="8"/>
  <c r="G35" i="8"/>
  <c r="F35" i="8"/>
  <c r="J34" i="8"/>
  <c r="I34" i="8"/>
  <c r="H34" i="8"/>
  <c r="G34" i="8"/>
  <c r="F34" i="8"/>
  <c r="J33" i="8"/>
  <c r="I33" i="8"/>
  <c r="H33" i="8"/>
  <c r="G33" i="8"/>
  <c r="F33" i="8"/>
  <c r="J32" i="8"/>
  <c r="I32" i="8"/>
  <c r="H32" i="8"/>
  <c r="G32" i="8"/>
  <c r="F32" i="8"/>
  <c r="J31" i="8"/>
  <c r="I31" i="8"/>
  <c r="H31" i="8"/>
  <c r="G31" i="8"/>
  <c r="F31" i="8"/>
  <c r="J30" i="8"/>
  <c r="I30" i="8"/>
  <c r="H30" i="8"/>
  <c r="G30" i="8"/>
  <c r="F30" i="8"/>
  <c r="J29" i="8"/>
  <c r="I29" i="8"/>
  <c r="H29" i="8"/>
  <c r="G29" i="8"/>
  <c r="F29" i="8"/>
  <c r="J28" i="8"/>
  <c r="I28" i="8"/>
  <c r="H28" i="8"/>
  <c r="G28" i="8"/>
  <c r="F28" i="8"/>
  <c r="J27" i="8"/>
  <c r="I27" i="8"/>
  <c r="H27" i="8"/>
  <c r="G27" i="8"/>
  <c r="F27" i="8"/>
  <c r="J26" i="8"/>
  <c r="I26" i="8"/>
  <c r="H26" i="8"/>
  <c r="G26" i="8"/>
  <c r="F26" i="8"/>
  <c r="J25" i="8"/>
  <c r="I25" i="8"/>
  <c r="H25" i="8"/>
  <c r="G25" i="8"/>
  <c r="F25" i="8"/>
  <c r="J24" i="8"/>
  <c r="I24" i="8"/>
  <c r="H24" i="8"/>
  <c r="G24" i="8"/>
  <c r="F24" i="8"/>
  <c r="J23" i="8"/>
  <c r="I23" i="8"/>
  <c r="H23" i="8"/>
  <c r="G23" i="8"/>
  <c r="F23" i="8"/>
  <c r="J22" i="8"/>
  <c r="I22" i="8"/>
  <c r="H22" i="8"/>
  <c r="G22" i="8"/>
  <c r="F22" i="8"/>
  <c r="J21" i="8"/>
  <c r="I21" i="8"/>
  <c r="H21" i="8"/>
  <c r="G21" i="8"/>
  <c r="F21" i="8"/>
  <c r="J20" i="8"/>
  <c r="I20" i="8"/>
  <c r="H20" i="8"/>
  <c r="G20" i="8"/>
  <c r="F20" i="8"/>
  <c r="J19" i="8"/>
  <c r="I19" i="8"/>
  <c r="H19" i="8"/>
  <c r="G19" i="8"/>
  <c r="F19" i="8"/>
  <c r="J18" i="8"/>
  <c r="I18" i="8"/>
  <c r="H18" i="8"/>
  <c r="G18" i="8"/>
  <c r="F18" i="8"/>
  <c r="J17" i="8"/>
  <c r="I17" i="8"/>
  <c r="H17" i="8"/>
  <c r="G17" i="8"/>
  <c r="F17" i="8"/>
  <c r="J16" i="8"/>
  <c r="I16" i="8"/>
  <c r="H16" i="8"/>
  <c r="G16" i="8"/>
  <c r="F16" i="8"/>
  <c r="J15" i="8"/>
  <c r="I15" i="8"/>
  <c r="H15" i="8"/>
  <c r="G15" i="8"/>
  <c r="F15" i="8"/>
  <c r="J14" i="8"/>
  <c r="I14" i="8"/>
  <c r="H14" i="8"/>
  <c r="G14" i="8"/>
  <c r="F14" i="8"/>
  <c r="J13" i="8"/>
  <c r="I13" i="8"/>
  <c r="H13" i="8"/>
  <c r="G13" i="8"/>
  <c r="F13" i="8"/>
  <c r="J12" i="8"/>
  <c r="I12" i="8"/>
  <c r="H12" i="8"/>
  <c r="G12" i="8"/>
  <c r="F12" i="8"/>
  <c r="J11" i="8"/>
  <c r="I11" i="8"/>
  <c r="H11" i="8"/>
  <c r="G11" i="8"/>
  <c r="F11" i="8"/>
  <c r="J10" i="8"/>
  <c r="I10" i="8"/>
  <c r="H10" i="8"/>
  <c r="G10" i="8"/>
  <c r="F10" i="8"/>
  <c r="J9" i="8"/>
  <c r="I9" i="8"/>
  <c r="H9" i="8"/>
  <c r="G9" i="8"/>
  <c r="F9" i="8"/>
  <c r="J8" i="8"/>
  <c r="I8" i="8"/>
  <c r="H8" i="8"/>
  <c r="G8" i="8"/>
  <c r="F8" i="8"/>
  <c r="J7" i="8"/>
  <c r="I7" i="8"/>
  <c r="H7" i="8"/>
  <c r="G7" i="8"/>
  <c r="F7" i="8"/>
  <c r="J6" i="8"/>
  <c r="I6" i="8"/>
  <c r="H6" i="8"/>
  <c r="G6" i="8"/>
  <c r="F6" i="8"/>
  <c r="J5" i="8"/>
  <c r="I5" i="8"/>
  <c r="H5" i="8"/>
  <c r="G5" i="8"/>
  <c r="F5" i="8"/>
  <c r="J4" i="8"/>
  <c r="I4" i="8"/>
  <c r="H4" i="8"/>
  <c r="G4" i="8"/>
  <c r="F4" i="8"/>
  <c r="J3" i="8"/>
  <c r="I3" i="8"/>
  <c r="H3" i="8"/>
  <c r="G3" i="8"/>
  <c r="F3" i="8"/>
  <c r="J2" i="8"/>
  <c r="I2" i="8"/>
  <c r="H2" i="8"/>
  <c r="G2" i="8"/>
  <c r="F2" i="8"/>
  <c r="C95" i="4"/>
  <c r="C93" i="4"/>
  <c r="C91" i="4"/>
  <c r="C8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rses" description="Connection to the 'Courses' query in the workbook." type="5" refreshedVersion="2" background="1" saveData="1">
    <dbPr connection="Provider=Microsoft.Mashup.OleDb.1;Data Source=$Workbook$;Location=Courses;Extended Properties=&quot;&quot;" command="SELECT * FROM [Courses]"/>
  </connection>
  <connection id="2" xr16:uid="{00000000-0015-0000-FFFF-FFFF01000000}" name="Query - Students" description="Connection to the 'Students' query in the workbook." type="5" refreshedVersion="2" background="1" saveData="1">
    <dbPr connection="Provider=Microsoft.Mashup.OleDb.1;Data Source=$Workbook$;Location=Students;Extended Properties=&quot;&quot;" command="SELECT * FROM [Students]"/>
  </connection>
  <connection id="3" xr16:uid="{00000000-0015-0000-FFFF-FFFF02000000}" name="WorksheetConnection_Student_Data_Analysis_using_excel.xlsx!Table1" type="5" refreshedVersion="2" saveData="1">
    <dbPr connection="" command=""/>
  </connection>
</connections>
</file>

<file path=xl/sharedStrings.xml><?xml version="1.0" encoding="utf-8"?>
<sst xmlns="http://schemas.openxmlformats.org/spreadsheetml/2006/main" count="7325" uniqueCount="740">
  <si>
    <t>StudentID</t>
  </si>
  <si>
    <t>StudentName</t>
  </si>
  <si>
    <t>Gender</t>
  </si>
  <si>
    <t>Age</t>
  </si>
  <si>
    <t>Department</t>
  </si>
  <si>
    <t>S001</t>
  </si>
  <si>
    <t>Nisha Gupta</t>
  </si>
  <si>
    <t>M</t>
  </si>
  <si>
    <t>Electronics</t>
  </si>
  <si>
    <t>S002</t>
  </si>
  <si>
    <t>Sneha Patil</t>
  </si>
  <si>
    <t>Computer Sci</t>
  </si>
  <si>
    <t>S003</t>
  </si>
  <si>
    <t>S004</t>
  </si>
  <si>
    <t>Ankit Sharma</t>
  </si>
  <si>
    <t>Mechanical</t>
  </si>
  <si>
    <t>S005</t>
  </si>
  <si>
    <t>Emily Davis</t>
  </si>
  <si>
    <t>Management</t>
  </si>
  <si>
    <t>S006</t>
  </si>
  <si>
    <t>Sara Khan</t>
  </si>
  <si>
    <t>S007</t>
  </si>
  <si>
    <t>Robert Taylor</t>
  </si>
  <si>
    <t>Civil</t>
  </si>
  <si>
    <t>S008</t>
  </si>
  <si>
    <t>Amit Kumar</t>
  </si>
  <si>
    <t>F</t>
  </si>
  <si>
    <t>S009</t>
  </si>
  <si>
    <t>Daniel Lee</t>
  </si>
  <si>
    <t>S010</t>
  </si>
  <si>
    <t>S011</t>
  </si>
  <si>
    <t>Raj Mehta</t>
  </si>
  <si>
    <t>S012</t>
  </si>
  <si>
    <t>S013</t>
  </si>
  <si>
    <t>S014</t>
  </si>
  <si>
    <t>S015</t>
  </si>
  <si>
    <t>S016</t>
  </si>
  <si>
    <t>Sophia Wilson</t>
  </si>
  <si>
    <t>S017</t>
  </si>
  <si>
    <t>Michael Brown</t>
  </si>
  <si>
    <t>S018</t>
  </si>
  <si>
    <t>S019</t>
  </si>
  <si>
    <t>S020</t>
  </si>
  <si>
    <t>S021</t>
  </si>
  <si>
    <t>S022</t>
  </si>
  <si>
    <t>S023</t>
  </si>
  <si>
    <t>S024</t>
  </si>
  <si>
    <t>James Clark</t>
  </si>
  <si>
    <t>S025</t>
  </si>
  <si>
    <t>S026</t>
  </si>
  <si>
    <t>John Smith</t>
  </si>
  <si>
    <t>S027</t>
  </si>
  <si>
    <t>S028</t>
  </si>
  <si>
    <t>S029</t>
  </si>
  <si>
    <t>S030</t>
  </si>
  <si>
    <t>S031</t>
  </si>
  <si>
    <t>S032</t>
  </si>
  <si>
    <t>S033</t>
  </si>
  <si>
    <t>S034</t>
  </si>
  <si>
    <t>S035</t>
  </si>
  <si>
    <t>S036</t>
  </si>
  <si>
    <t>S037</t>
  </si>
  <si>
    <t>S038</t>
  </si>
  <si>
    <t>S039</t>
  </si>
  <si>
    <t>S040</t>
  </si>
  <si>
    <t>S041</t>
  </si>
  <si>
    <t>S042</t>
  </si>
  <si>
    <t>Chris Evans</t>
  </si>
  <si>
    <t>S043</t>
  </si>
  <si>
    <t>S044</t>
  </si>
  <si>
    <t>S045</t>
  </si>
  <si>
    <t>S046</t>
  </si>
  <si>
    <t>S047</t>
  </si>
  <si>
    <t>S048</t>
  </si>
  <si>
    <t>S049</t>
  </si>
  <si>
    <t>Priya Verma</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</si>
  <si>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</si>
  <si>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</si>
  <si>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</si>
  <si>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</si>
  <si>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</si>
  <si>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</si>
  <si>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</si>
  <si>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</si>
  <si>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</si>
  <si>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</si>
  <si>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</si>
  <si>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</si>
  <si>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</si>
  <si>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</si>
  <si>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</si>
  <si>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</si>
  <si>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</si>
  <si>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</si>
  <si>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</si>
  <si>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</si>
  <si>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</si>
  <si>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</si>
  <si>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</si>
  <si>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</si>
  <si>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</si>
  <si>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</si>
  <si>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</si>
  <si>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</si>
  <si>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</si>
  <si>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</si>
  <si>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</si>
  <si>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</si>
  <si>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</si>
  <si>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</si>
  <si>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</si>
  <si>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</si>
  <si>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</si>
  <si>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</si>
  <si>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</si>
  <si>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</si>
  <si>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</si>
  <si>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</si>
  <si>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</si>
  <si>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</si>
  <si>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</si>
  <si>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</si>
  <si>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</si>
  <si>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</si>
  <si>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</si>
  <si>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</si>
  <si>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</si>
  <si>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CourseID</t>
  </si>
  <si>
    <t>CourseName</t>
  </si>
  <si>
    <t>Credits</t>
  </si>
  <si>
    <t>C001</t>
  </si>
  <si>
    <t>Data Structures</t>
  </si>
  <si>
    <t>C002</t>
  </si>
  <si>
    <t>DBMS</t>
  </si>
  <si>
    <t>C003</t>
  </si>
  <si>
    <t>Thermodynamics</t>
  </si>
  <si>
    <t>C004</t>
  </si>
  <si>
    <t>Circuits</t>
  </si>
  <si>
    <t>C005</t>
  </si>
  <si>
    <t>AI &amp; ML</t>
  </si>
  <si>
    <t>C006</t>
  </si>
  <si>
    <t>Fluid Mechanics</t>
  </si>
  <si>
    <t>C007</t>
  </si>
  <si>
    <t>Digital Logic</t>
  </si>
  <si>
    <t>C008</t>
  </si>
  <si>
    <t>Structural Analysis</t>
  </si>
  <si>
    <t>C009</t>
  </si>
  <si>
    <t>Marketing</t>
  </si>
  <si>
    <t>C010</t>
  </si>
  <si>
    <t>Finance</t>
  </si>
  <si>
    <t>Problem Statements for Education Dataset (Excel Project)</t>
  </si>
  <si>
    <t>Problem 1: Student Performance Analysis</t>
  </si>
  <si>
    <t>We want to know how students are performing.</t>
  </si>
  <si>
    <r>
      <rPr>
        <sz val="11"/>
        <color theme="1"/>
        <rFont val="Calibri"/>
        <charset val="134"/>
        <scheme val="minor"/>
      </rPr>
      <t xml:space="preserve">Calculate each student’s </t>
    </r>
    <r>
      <rPr>
        <b/>
        <sz val="11"/>
        <color theme="1"/>
        <rFont val="Calibri"/>
        <charset val="134"/>
        <scheme val="minor"/>
      </rPr>
      <t>average GPA</t>
    </r>
    <r>
      <rPr>
        <sz val="11"/>
        <color theme="1"/>
        <rFont val="Calibri"/>
        <charset val="134"/>
        <scheme val="minor"/>
      </rPr>
      <t xml:space="preserve"> by converting grades (A=10, B=8, C=6, D=4, F=0).</t>
    </r>
  </si>
  <si>
    <r>
      <rPr>
        <sz val="11"/>
        <color theme="1"/>
        <rFont val="Calibri"/>
        <charset val="134"/>
        <scheme val="minor"/>
      </rPr>
      <t xml:space="preserve">Identify the </t>
    </r>
    <r>
      <rPr>
        <b/>
        <sz val="11"/>
        <color theme="1"/>
        <rFont val="Calibri"/>
        <charset val="134"/>
        <scheme val="minor"/>
      </rPr>
      <t>Top 10 Students</t>
    </r>
    <r>
      <rPr>
        <sz val="11"/>
        <color theme="1"/>
        <rFont val="Calibri"/>
        <charset val="134"/>
        <scheme val="minor"/>
      </rPr>
      <t xml:space="preserve"> ranked by GPA.</t>
    </r>
  </si>
  <si>
    <r>
      <rPr>
        <sz val="11"/>
        <color theme="1"/>
        <rFont val="Calibri"/>
        <charset val="134"/>
        <scheme val="minor"/>
      </rPr>
      <t xml:space="preserve">Highlight students who have </t>
    </r>
    <r>
      <rPr>
        <b/>
        <sz val="11"/>
        <color theme="1"/>
        <rFont val="Calibri"/>
        <charset val="134"/>
        <scheme val="minor"/>
      </rPr>
      <t>failed (Grade D/F)</t>
    </r>
    <r>
      <rPr>
        <sz val="11"/>
        <color theme="1"/>
        <rFont val="Calibri"/>
        <charset val="134"/>
        <scheme val="minor"/>
      </rPr>
      <t xml:space="preserve"> in any course.</t>
    </r>
  </si>
  <si>
    <t>Problem 2: Course Popularity &amp; Difficulty</t>
  </si>
  <si>
    <t>The Academic Committee wants to evaluate courses.</t>
  </si>
  <si>
    <r>
      <rPr>
        <sz val="11"/>
        <color theme="1"/>
        <rFont val="Calibri"/>
        <charset val="134"/>
        <scheme val="minor"/>
      </rPr>
      <t xml:space="preserve">Find the </t>
    </r>
    <r>
      <rPr>
        <b/>
        <sz val="11"/>
        <color theme="1"/>
        <rFont val="Calibri"/>
        <charset val="134"/>
        <scheme val="minor"/>
      </rPr>
      <t>most popular course</t>
    </r>
    <r>
      <rPr>
        <sz val="11"/>
        <color theme="1"/>
        <rFont val="Calibri"/>
        <charset val="134"/>
        <scheme val="minor"/>
      </rPr>
      <t xml:space="preserve"> (highest enrollments).</t>
    </r>
  </si>
  <si>
    <r>
      <rPr>
        <sz val="11"/>
        <color theme="1"/>
        <rFont val="Calibri"/>
        <charset val="134"/>
        <scheme val="minor"/>
      </rPr>
      <t xml:space="preserve">Identify the </t>
    </r>
    <r>
      <rPr>
        <b/>
        <sz val="11"/>
        <color theme="1"/>
        <rFont val="Calibri"/>
        <charset val="134"/>
        <scheme val="minor"/>
      </rPr>
      <t>least popular course</t>
    </r>
    <r>
      <rPr>
        <sz val="11"/>
        <color theme="1"/>
        <rFont val="Calibri"/>
        <charset val="134"/>
        <scheme val="minor"/>
      </rPr>
      <t>.</t>
    </r>
  </si>
  <si>
    <r>
      <rPr>
        <sz val="11"/>
        <color theme="1"/>
        <rFont val="Calibri"/>
        <charset val="134"/>
        <scheme val="minor"/>
      </rPr>
      <t xml:space="preserve">Find the course with the </t>
    </r>
    <r>
      <rPr>
        <b/>
        <sz val="11"/>
        <color theme="1"/>
        <rFont val="Calibri"/>
        <charset val="134"/>
        <scheme val="minor"/>
      </rPr>
      <t>highest average GPA</t>
    </r>
    <r>
      <rPr>
        <sz val="11"/>
        <color theme="1"/>
        <rFont val="Calibri"/>
        <charset val="134"/>
        <scheme val="minor"/>
      </rPr>
      <t xml:space="preserve"> (easiest) and the </t>
    </r>
    <r>
      <rPr>
        <b/>
        <sz val="11"/>
        <color theme="1"/>
        <rFont val="Calibri"/>
        <charset val="134"/>
        <scheme val="minor"/>
      </rPr>
      <t>lowest average GPA</t>
    </r>
    <r>
      <rPr>
        <sz val="11"/>
        <color theme="1"/>
        <rFont val="Calibri"/>
        <charset val="134"/>
        <scheme val="minor"/>
      </rPr>
      <t xml:space="preserve"> (most difficult).</t>
    </r>
  </si>
  <si>
    <t>Problem 3: Department-Level Insights</t>
  </si>
  <si>
    <t>The Head of Departments (HoDs) want insights on their students.</t>
  </si>
  <si>
    <r>
      <rPr>
        <sz val="11"/>
        <color theme="1"/>
        <rFont val="Calibri"/>
        <charset val="134"/>
        <scheme val="minor"/>
      </rPr>
      <t xml:space="preserve">Show the </t>
    </r>
    <r>
      <rPr>
        <b/>
        <sz val="11"/>
        <color theme="1"/>
        <rFont val="Calibri"/>
        <charset val="134"/>
        <scheme val="minor"/>
      </rPr>
      <t>number of students per department</t>
    </r>
    <r>
      <rPr>
        <sz val="11"/>
        <color theme="1"/>
        <rFont val="Calibri"/>
        <charset val="134"/>
        <scheme val="minor"/>
      </rPr>
      <t>.</t>
    </r>
  </si>
  <si>
    <r>
      <rPr>
        <sz val="11"/>
        <color theme="1"/>
        <rFont val="Calibri"/>
        <charset val="134"/>
        <scheme val="minor"/>
      </rPr>
      <t xml:space="preserve">Find the </t>
    </r>
    <r>
      <rPr>
        <b/>
        <sz val="11"/>
        <color theme="1"/>
        <rFont val="Calibri"/>
        <charset val="134"/>
        <scheme val="minor"/>
      </rPr>
      <t>average GPA by department</t>
    </r>
    <r>
      <rPr>
        <sz val="11"/>
        <color theme="1"/>
        <rFont val="Calibri"/>
        <charset val="134"/>
        <scheme val="minor"/>
      </rPr>
      <t>.</t>
    </r>
  </si>
  <si>
    <r>
      <rPr>
        <sz val="11"/>
        <color theme="1"/>
        <rFont val="Calibri"/>
        <charset val="134"/>
        <scheme val="minor"/>
      </rPr>
      <t xml:space="preserve">Compare </t>
    </r>
    <r>
      <rPr>
        <b/>
        <sz val="11"/>
        <color theme="1"/>
        <rFont val="Calibri"/>
        <charset val="134"/>
        <scheme val="minor"/>
      </rPr>
      <t>Computer Science vs. Mechanical Engineering</t>
    </r>
    <r>
      <rPr>
        <sz val="11"/>
        <color theme="1"/>
        <rFont val="Calibri"/>
        <charset val="134"/>
        <scheme val="minor"/>
      </rPr>
      <t xml:space="preserve"> in terms of enrollments and performance.</t>
    </r>
  </si>
  <si>
    <t>Problem 4: Semester Trends</t>
  </si>
  <si>
    <t>The Examination Cell wants semester-wise reports.</t>
  </si>
  <si>
    <r>
      <rPr>
        <sz val="11"/>
        <color theme="1"/>
        <rFont val="Calibri"/>
        <charset val="134"/>
        <scheme val="minor"/>
      </rPr>
      <t xml:space="preserve">Find the </t>
    </r>
    <r>
      <rPr>
        <b/>
        <sz val="11"/>
        <color theme="1"/>
        <rFont val="Calibri"/>
        <charset val="134"/>
        <scheme val="minor"/>
      </rPr>
      <t>total enrollments per semester</t>
    </r>
    <r>
      <rPr>
        <sz val="11"/>
        <color theme="1"/>
        <rFont val="Calibri"/>
        <charset val="134"/>
        <scheme val="minor"/>
      </rPr>
      <t>.</t>
    </r>
  </si>
  <si>
    <r>
      <rPr>
        <sz val="11"/>
        <color theme="1"/>
        <rFont val="Calibri"/>
        <charset val="134"/>
        <scheme val="minor"/>
      </rPr>
      <t xml:space="preserve">Which semester had the </t>
    </r>
    <r>
      <rPr>
        <b/>
        <sz val="11"/>
        <color theme="1"/>
        <rFont val="Calibri"/>
        <charset val="134"/>
        <scheme val="minor"/>
      </rPr>
      <t>highest GPA average</t>
    </r>
    <r>
      <rPr>
        <sz val="11"/>
        <color theme="1"/>
        <rFont val="Calibri"/>
        <charset val="134"/>
        <scheme val="minor"/>
      </rPr>
      <t>?</t>
    </r>
  </si>
  <si>
    <r>
      <rPr>
        <sz val="11"/>
        <color theme="1"/>
        <rFont val="Calibri"/>
        <charset val="134"/>
        <scheme val="minor"/>
      </rPr>
      <t xml:space="preserve">Create a </t>
    </r>
    <r>
      <rPr>
        <b/>
        <sz val="11"/>
        <color theme="1"/>
        <rFont val="Calibri"/>
        <charset val="134"/>
        <scheme val="minor"/>
      </rPr>
      <t>line chart</t>
    </r>
    <r>
      <rPr>
        <sz val="11"/>
        <color theme="1"/>
        <rFont val="Calibri"/>
        <charset val="134"/>
        <scheme val="minor"/>
      </rPr>
      <t xml:space="preserve"> showing GPA trends across semesters.</t>
    </r>
  </si>
  <si>
    <t>Problem 5: Gender-based Analysis</t>
  </si>
  <si>
    <t>The management is analyzing diversity in performance.</t>
  </si>
  <si>
    <r>
      <rPr>
        <sz val="11"/>
        <color theme="1"/>
        <rFont val="Calibri"/>
        <charset val="134"/>
        <scheme val="minor"/>
      </rPr>
      <t xml:space="preserve">Compare </t>
    </r>
    <r>
      <rPr>
        <b/>
        <sz val="11"/>
        <color theme="1"/>
        <rFont val="Calibri"/>
        <charset val="134"/>
        <scheme val="minor"/>
      </rPr>
      <t>male vs female students</t>
    </r>
    <r>
      <rPr>
        <sz val="11"/>
        <color theme="1"/>
        <rFont val="Calibri"/>
        <charset val="134"/>
        <scheme val="minor"/>
      </rPr>
      <t xml:space="preserve"> in terms of average GPA.</t>
    </r>
  </si>
  <si>
    <r>
      <rPr>
        <sz val="11"/>
        <color theme="1"/>
        <rFont val="Calibri"/>
        <charset val="134"/>
        <scheme val="minor"/>
      </rPr>
      <t xml:space="preserve">Which gender performs better in </t>
    </r>
    <r>
      <rPr>
        <b/>
        <sz val="11"/>
        <color theme="1"/>
        <rFont val="Calibri"/>
        <charset val="134"/>
        <scheme val="minor"/>
      </rPr>
      <t>Computer Science courses</t>
    </r>
    <r>
      <rPr>
        <sz val="11"/>
        <color theme="1"/>
        <rFont val="Calibri"/>
        <charset val="134"/>
        <scheme val="minor"/>
      </rPr>
      <t>?</t>
    </r>
  </si>
  <si>
    <r>
      <rPr>
        <sz val="11"/>
        <color theme="1"/>
        <rFont val="Calibri"/>
        <charset val="134"/>
        <scheme val="minor"/>
      </rPr>
      <t xml:space="preserve">Show a </t>
    </r>
    <r>
      <rPr>
        <b/>
        <sz val="11"/>
        <color theme="1"/>
        <rFont val="Calibri"/>
        <charset val="134"/>
        <scheme val="minor"/>
      </rPr>
      <t>pivot chart of grades by gender</t>
    </r>
    <r>
      <rPr>
        <sz val="11"/>
        <color theme="1"/>
        <rFont val="Calibri"/>
        <charset val="134"/>
        <scheme val="minor"/>
      </rPr>
      <t>.</t>
    </r>
  </si>
  <si>
    <t>Problem 6: Advanced Insights</t>
  </si>
  <si>
    <t>The Registrar’s office needs detailed reporting.</t>
  </si>
  <si>
    <r>
      <rPr>
        <sz val="11"/>
        <color theme="1"/>
        <rFont val="Calibri"/>
        <charset val="134"/>
        <scheme val="minor"/>
      </rPr>
      <t xml:space="preserve">For each student, list all courses taken with </t>
    </r>
    <r>
      <rPr>
        <b/>
        <sz val="11"/>
        <color theme="1"/>
        <rFont val="Calibri"/>
        <charset val="134"/>
        <scheme val="minor"/>
      </rPr>
      <t>VLOOKUP/INDEX+MATCH</t>
    </r>
    <r>
      <rPr>
        <sz val="11"/>
        <color theme="1"/>
        <rFont val="Calibri"/>
        <charset val="134"/>
        <scheme val="minor"/>
      </rPr>
      <t>.</t>
    </r>
  </si>
  <si>
    <r>
      <rPr>
        <sz val="11"/>
        <color theme="1"/>
        <rFont val="Calibri"/>
        <charset val="134"/>
        <scheme val="minor"/>
      </rPr>
      <t xml:space="preserve">Identify students who took </t>
    </r>
    <r>
      <rPr>
        <b/>
        <sz val="11"/>
        <color theme="1"/>
        <rFont val="Calibri"/>
        <charset val="134"/>
        <scheme val="minor"/>
      </rPr>
      <t>both DBMS (C002) and AI &amp; ML (C005)</t>
    </r>
    <r>
      <rPr>
        <sz val="11"/>
        <color theme="1"/>
        <rFont val="Calibri"/>
        <charset val="134"/>
        <scheme val="minor"/>
      </rPr>
      <t>.</t>
    </r>
  </si>
  <si>
    <r>
      <rPr>
        <sz val="11"/>
        <color theme="1"/>
        <rFont val="Calibri"/>
        <charset val="134"/>
        <scheme val="minor"/>
      </rPr>
      <t xml:space="preserve">Use </t>
    </r>
    <r>
      <rPr>
        <b/>
        <sz val="11"/>
        <color theme="1"/>
        <rFont val="Calibri"/>
        <charset val="134"/>
        <scheme val="minor"/>
      </rPr>
      <t>COUNTIF/SUMIFS</t>
    </r>
    <r>
      <rPr>
        <sz val="11"/>
        <color theme="1"/>
        <rFont val="Calibri"/>
        <charset val="134"/>
        <scheme val="minor"/>
      </rPr>
      <t xml:space="preserve"> to calculate:</t>
    </r>
  </si>
  <si>
    <r>
      <rPr>
        <sz val="11"/>
        <color theme="1"/>
        <rFont val="Calibri"/>
        <charset val="134"/>
        <scheme val="minor"/>
      </rPr>
      <t xml:space="preserve">How many students got </t>
    </r>
    <r>
      <rPr>
        <b/>
        <sz val="11"/>
        <color theme="1"/>
        <rFont val="Calibri"/>
        <charset val="134"/>
        <scheme val="minor"/>
      </rPr>
      <t>Grade A</t>
    </r>
    <r>
      <rPr>
        <sz val="11"/>
        <color theme="1"/>
        <rFont val="Calibri"/>
        <charset val="134"/>
        <scheme val="minor"/>
      </rPr>
      <t xml:space="preserve"> overall.</t>
    </r>
  </si>
  <si>
    <t>Total credits earned by each student.</t>
  </si>
  <si>
    <t>Problem 7: Dashboard Creation</t>
  </si>
  <si>
    <r>
      <rPr>
        <sz val="11"/>
        <color theme="1"/>
        <rFont val="Calibri"/>
        <charset val="134"/>
        <scheme val="minor"/>
      </rPr>
      <t xml:space="preserve">The College Board wants a </t>
    </r>
    <r>
      <rPr>
        <b/>
        <sz val="11"/>
        <color theme="1"/>
        <rFont val="Calibri"/>
        <charset val="134"/>
        <scheme val="minor"/>
      </rPr>
      <t>single-page dashboard</t>
    </r>
    <r>
      <rPr>
        <sz val="11"/>
        <color theme="1"/>
        <rFont val="Calibri"/>
        <charset val="134"/>
        <scheme val="minor"/>
      </rPr>
      <t>.</t>
    </r>
  </si>
  <si>
    <t>KPIs to Display:</t>
  </si>
  <si>
    <t>Total Students</t>
  </si>
  <si>
    <t>Total Courses</t>
  </si>
  <si>
    <t>Total Enrollments</t>
  </si>
  <si>
    <t>Average GPA</t>
  </si>
  <si>
    <t>Charts to Include:</t>
  </si>
  <si>
    <t>Department-wise Average GPA (Bar Chart)</t>
  </si>
  <si>
    <t>Course Popularity (Pie Chart)</t>
  </si>
  <si>
    <t>Semester GPA Trend (Line Chart)</t>
  </si>
  <si>
    <t>Top 10 Students by GPA (Table with Conditional Formatting)</t>
  </si>
  <si>
    <r>
      <rPr>
        <b/>
        <sz val="11"/>
        <color theme="1"/>
        <rFont val="Calibri"/>
        <charset val="134"/>
        <scheme val="minor"/>
      </rPr>
      <t>Filters/Slicers:</t>
    </r>
    <r>
      <rPr>
        <sz val="11"/>
        <color theme="1"/>
        <rFont val="Calibri"/>
        <charset val="134"/>
        <scheme val="minor"/>
      </rPr>
      <t xml:space="preserve"> Department, Semester, Grade</t>
    </r>
  </si>
  <si>
    <t>EnrollmentID</t>
  </si>
  <si>
    <t>Grade</t>
  </si>
  <si>
    <t>Semester</t>
  </si>
  <si>
    <t>E001</t>
  </si>
  <si>
    <t>C</t>
  </si>
  <si>
    <t>Sem 2 2024</t>
  </si>
  <si>
    <t>E002</t>
  </si>
  <si>
    <t>D</t>
  </si>
  <si>
    <t>Sem 1 2024</t>
  </si>
  <si>
    <t>E003</t>
  </si>
  <si>
    <t>B</t>
  </si>
  <si>
    <t>Sem 2 2025</t>
  </si>
  <si>
    <t>E004</t>
  </si>
  <si>
    <t>E005</t>
  </si>
  <si>
    <t>Sem 1 2025</t>
  </si>
  <si>
    <t>E006</t>
  </si>
  <si>
    <t>E007</t>
  </si>
  <si>
    <t>E008</t>
  </si>
  <si>
    <t>E009</t>
  </si>
  <si>
    <t>A</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</si>
  <si>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</si>
  <si>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</si>
  <si>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</si>
  <si>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</si>
  <si>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</si>
  <si>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</si>
  <si>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</si>
  <si>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</si>
  <si>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</si>
  <si>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</si>
  <si>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</si>
  <si>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</si>
  <si>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</si>
  <si>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</si>
  <si>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</si>
  <si>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</si>
  <si>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</si>
  <si>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</si>
  <si>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</si>
  <si>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</si>
  <si>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</si>
  <si>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</si>
  <si>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</si>
  <si>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</si>
  <si>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</si>
  <si>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</si>
  <si>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</si>
  <si>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</si>
  <si>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</si>
  <si>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</si>
  <si>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</si>
  <si>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</si>
  <si>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</si>
  <si>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</si>
  <si>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</si>
  <si>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</si>
  <si>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</si>
  <si>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</si>
  <si>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</si>
  <si>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</si>
  <si>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</si>
  <si>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</si>
  <si>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</si>
  <si>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</si>
  <si>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</si>
  <si>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</si>
  <si>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</si>
  <si>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</si>
  <si>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</si>
  <si>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</si>
  <si>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</si>
  <si>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</si>
  <si>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</si>
  <si>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</si>
  <si>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</si>
  <si>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</si>
  <si>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</si>
  <si>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</si>
  <si>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</si>
  <si>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</si>
  <si>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</si>
  <si>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</si>
  <si>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</si>
  <si>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</si>
  <si>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</si>
  <si>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</si>
  <si>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</si>
  <si>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</si>
  <si>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</si>
  <si>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</si>
  <si>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</si>
  <si>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</si>
  <si>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</si>
  <si>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</si>
  <si>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</si>
  <si>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</si>
  <si>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</si>
  <si>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</si>
  <si>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</si>
  <si>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</si>
  <si>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</si>
  <si>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</si>
  <si>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</si>
  <si>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</si>
  <si>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</si>
  <si>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</si>
  <si>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</si>
  <si>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</si>
  <si>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</si>
  <si>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</si>
  <si>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</si>
  <si>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</si>
  <si>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</si>
  <si>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</si>
  <si>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</si>
  <si>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</si>
  <si>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</si>
  <si>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</si>
  <si>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</si>
  <si>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</si>
  <si>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</si>
  <si>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</si>
  <si>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</si>
  <si>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</si>
  <si>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</si>
  <si>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</si>
  <si>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</si>
  <si>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</si>
  <si>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</si>
  <si>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</si>
  <si>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</si>
  <si>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</si>
  <si>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</si>
  <si>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</si>
  <si>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</si>
  <si>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</si>
  <si>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</si>
  <si>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</si>
  <si>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</si>
  <si>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</si>
  <si>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</si>
  <si>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</si>
  <si>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</si>
  <si>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</si>
  <si>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</si>
  <si>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</si>
  <si>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</si>
  <si>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</si>
  <si>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</si>
  <si>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</si>
  <si>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</si>
  <si>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</si>
  <si>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</si>
  <si>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</si>
  <si>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</si>
  <si>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</si>
  <si>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</si>
  <si>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</si>
  <si>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</si>
  <si>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</si>
  <si>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</si>
  <si>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</si>
  <si>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</si>
  <si>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</si>
  <si>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</si>
  <si>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</si>
  <si>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</si>
  <si>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</si>
  <si>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</si>
  <si>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</si>
  <si>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</si>
  <si>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</si>
  <si>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</si>
  <si>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</si>
  <si>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</si>
  <si>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</si>
  <si>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</si>
  <si>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</si>
  <si>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</si>
  <si>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</si>
  <si>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</si>
  <si>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</si>
  <si>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</si>
  <si>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</si>
  <si>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</si>
  <si>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</si>
  <si>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</si>
  <si>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</si>
  <si>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</si>
  <si>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</si>
  <si>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</si>
  <si>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</si>
  <si>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</si>
  <si>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</si>
  <si>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</si>
  <si>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</si>
  <si>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</si>
  <si>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</si>
  <si>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</si>
  <si>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</si>
  <si>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</si>
  <si>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</si>
  <si>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</si>
  <si>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</si>
  <si>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</si>
  <si>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</si>
  <si>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</si>
  <si>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</si>
  <si>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</si>
  <si>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</si>
  <si>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</si>
  <si>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</si>
  <si>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</si>
  <si>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</si>
  <si>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</si>
  <si>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</si>
  <si>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</si>
  <si>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</si>
  <si>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</si>
  <si>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</si>
  <si>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</si>
  <si>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</si>
  <si>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</si>
  <si>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</si>
  <si>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</si>
  <si>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</si>
  <si>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</si>
  <si>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</si>
  <si>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</si>
  <si>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</si>
  <si>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</si>
  <si>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</si>
  <si>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</si>
  <si>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</si>
  <si>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</si>
  <si>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</si>
  <si>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</si>
  <si>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</si>
  <si>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</si>
  <si>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</si>
  <si>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</si>
  <si>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</si>
  <si>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</si>
  <si>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</si>
  <si>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</si>
  <si>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</si>
  <si>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</si>
  <si>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</si>
  <si>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</si>
  <si>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</si>
  <si>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</si>
  <si>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</si>
  <si>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</si>
  <si>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</si>
  <si>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</si>
  <si>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</si>
  <si>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</si>
  <si>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</si>
  <si>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</si>
  <si>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</si>
  <si>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</si>
  <si>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</si>
  <si>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</si>
  <si>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</si>
  <si>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</si>
  <si>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</si>
  <si>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</si>
  <si>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</si>
  <si>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</si>
  <si>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</si>
  <si>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</si>
  <si>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</si>
  <si>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</si>
  <si>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</si>
  <si>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</si>
  <si>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</si>
  <si>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</si>
  <si>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</si>
  <si>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</si>
  <si>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</si>
  <si>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</si>
  <si>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</si>
  <si>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</si>
  <si>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</si>
  <si>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</si>
  <si>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</si>
  <si>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</si>
  <si>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</si>
  <si>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</si>
  <si>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</si>
  <si>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</si>
  <si>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</si>
  <si>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</si>
  <si>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</si>
  <si>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</si>
  <si>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</si>
  <si>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</si>
  <si>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</si>
  <si>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</si>
  <si>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</si>
  <si>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</si>
  <si>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</si>
  <si>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</si>
  <si>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</si>
  <si>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</si>
  <si>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</si>
  <si>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</si>
  <si>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</si>
  <si>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</si>
  <si>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</si>
  <si>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</si>
  <si>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</si>
  <si>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</si>
  <si>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</si>
  <si>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</si>
  <si>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</si>
  <si>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</si>
  <si>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</si>
  <si>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</si>
  <si>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</si>
  <si>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</si>
  <si>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</si>
  <si>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</si>
  <si>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</si>
  <si>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</si>
  <si>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</si>
  <si>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</si>
  <si>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</si>
  <si>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</si>
  <si>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</si>
  <si>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</si>
  <si>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</si>
  <si>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</si>
  <si>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</si>
  <si>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</si>
  <si>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</si>
  <si>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</si>
  <si>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</si>
  <si>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</si>
  <si>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</si>
  <si>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</si>
  <si>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</si>
  <si>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</si>
  <si>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</si>
  <si>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</si>
  <si>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</si>
  <si>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</si>
  <si>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</si>
  <si>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</si>
  <si>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</si>
  <si>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</si>
  <si>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</si>
  <si>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</si>
  <si>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</si>
  <si>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</si>
  <si>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</si>
  <si>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</si>
  <si>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</si>
  <si>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</si>
  <si>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</si>
  <si>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</si>
  <si>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</si>
  <si>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</si>
  <si>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</si>
  <si>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</si>
  <si>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</si>
  <si>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</si>
  <si>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</si>
  <si>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</si>
  <si>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</si>
  <si>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</si>
  <si>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</si>
  <si>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</si>
  <si>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</si>
  <si>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</si>
  <si>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</si>
  <si>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</si>
  <si>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</si>
  <si>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</si>
  <si>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</si>
  <si>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</si>
  <si>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</si>
  <si>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</si>
  <si>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</si>
  <si>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</si>
  <si>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</si>
  <si>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</si>
  <si>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</si>
  <si>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</si>
  <si>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</si>
  <si>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</si>
  <si>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</si>
  <si>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</si>
  <si>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</si>
  <si>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</si>
  <si>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</si>
  <si>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</si>
  <si>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</si>
  <si>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</si>
  <si>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</si>
  <si>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</si>
  <si>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</si>
  <si>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</si>
  <si>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</si>
  <si>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</si>
  <si>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</si>
  <si>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</si>
  <si>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</si>
  <si>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</si>
  <si>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</si>
  <si>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</si>
  <si>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</si>
  <si>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</si>
  <si>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</si>
  <si>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</si>
  <si>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</si>
  <si>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</si>
  <si>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</si>
  <si>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</si>
  <si>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</si>
  <si>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</si>
  <si>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</si>
  <si>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</si>
  <si>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</si>
  <si>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</si>
  <si>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</si>
  <si>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</si>
  <si>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</si>
  <si>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</si>
  <si>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</si>
  <si>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</si>
  <si>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</si>
  <si>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</si>
  <si>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</si>
  <si>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</si>
  <si>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</si>
  <si>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</si>
  <si>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</si>
  <si>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</si>
  <si>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</si>
  <si>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</si>
  <si>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</si>
  <si>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</si>
  <si>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</si>
  <si>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</si>
  <si>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</si>
  <si>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</si>
  <si>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</si>
  <si>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</si>
  <si>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</si>
  <si>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</si>
  <si>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</si>
  <si>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</si>
  <si>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</si>
  <si>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</si>
  <si>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</si>
  <si>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</si>
  <si>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</si>
  <si>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</si>
  <si>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</si>
  <si>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</si>
  <si>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</si>
  <si>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</si>
  <si>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</si>
  <si>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</si>
  <si>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</si>
  <si>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</si>
  <si>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</si>
  <si>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</si>
  <si>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</si>
  <si>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</si>
  <si>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</si>
  <si>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</si>
  <si>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</si>
  <si>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</si>
  <si>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</si>
  <si>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</si>
  <si>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</si>
  <si>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</si>
  <si>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</si>
  <si>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</si>
  <si>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</si>
  <si>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</si>
  <si>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</si>
  <si>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</si>
  <si>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</si>
  <si>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</si>
  <si>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</si>
  <si>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</si>
  <si>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</si>
  <si>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</si>
  <si>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</si>
  <si>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</si>
  <si>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</si>
  <si>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</si>
  <si>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</si>
  <si>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</si>
  <si>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</si>
  <si>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</si>
  <si>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</si>
  <si>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</si>
  <si>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</si>
  <si>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</si>
  <si>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</si>
  <si>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</si>
  <si>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</si>
  <si>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</si>
  <si>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</si>
  <si>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</si>
  <si>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</si>
  <si>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</si>
  <si>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Department Name</t>
  </si>
  <si>
    <t>Credit</t>
  </si>
  <si>
    <r>
      <rPr>
        <sz val="11"/>
        <color theme="1"/>
        <rFont val="Calibri"/>
        <charset val="134"/>
        <scheme val="minor"/>
      </rPr>
      <t xml:space="preserve">Identify the </t>
    </r>
    <r>
      <rPr>
        <b/>
        <sz val="11"/>
        <color theme="1"/>
        <rFont val="Calibri"/>
        <charset val="134"/>
        <scheme val="minor"/>
      </rPr>
      <t>Top 10 Students</t>
    </r>
    <r>
      <rPr>
        <sz val="11"/>
        <color theme="1"/>
        <rFont val="Calibri"/>
        <charset val="134"/>
        <scheme val="minor"/>
      </rPr>
      <t xml:space="preserve"> ranked by GPA.</t>
    </r>
  </si>
  <si>
    <t>Q2.Top 10 Students</t>
  </si>
  <si>
    <t>Count of EnrollmentID</t>
  </si>
  <si>
    <t>Average of Average GPA</t>
  </si>
  <si>
    <t>Q1.Most Popular Course</t>
  </si>
  <si>
    <t>Q2.Least Popular Course</t>
  </si>
  <si>
    <t>Data Structure</t>
  </si>
  <si>
    <t>Q3.a) Highest Average GPA</t>
  </si>
  <si>
    <t xml:space="preserve">       b) Lowest Average GPA</t>
  </si>
  <si>
    <t>Grand Total</t>
  </si>
  <si>
    <t>Q1. Ans</t>
  </si>
  <si>
    <t>Q2. Ans</t>
  </si>
  <si>
    <t>Q3. Ans</t>
  </si>
  <si>
    <t>No. of Students per department</t>
  </si>
  <si>
    <t>Average GPA per Department</t>
  </si>
  <si>
    <t>Performance by GPA</t>
  </si>
  <si>
    <t>Total</t>
  </si>
  <si>
    <t>using pivot table</t>
  </si>
  <si>
    <t>Count of StudentID</t>
  </si>
  <si>
    <t>Performance</t>
  </si>
  <si>
    <t>Count of Average GPA</t>
  </si>
  <si>
    <t>Q3 Ans</t>
  </si>
  <si>
    <t xml:space="preserve">Q1 Ans </t>
  </si>
  <si>
    <t>Q2 ANs</t>
  </si>
  <si>
    <t>Q3 total credit earned by each student</t>
  </si>
  <si>
    <t>Student Name</t>
  </si>
  <si>
    <t>Count of CourseID</t>
  </si>
  <si>
    <t>Sum of Credit</t>
  </si>
  <si>
    <t>Row Labels</t>
  </si>
  <si>
    <t>Max of Average GPA</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</si>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</sst>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Calibri"/>
      <charset val="134"/>
      <scheme val="minor"/>
    </font>
    <font>
      <b/>
      <sz val="13.5"/>
      <color theme="1"/>
      <name val="Calibri"/>
      <charset val="134"/>
      <scheme val="minor"/>
    </font>
    <font>
      <b/>
      <sz val="11"/>
      <color theme="1"/>
      <name val="Calibri"/>
      <charset val="134"/>
      <scheme val="minor"/>
    </font>
    <font>
      <b/>
      <sz val="11"/>
      <name val="Calibri"/>
      <charset val="134"/>
    </font>
    <font>
      <b/>
      <sz val="11"/>
      <color theme="0"/>
      <name val="Calibri"/>
      <charset val="134"/>
      <scheme val="minor"/>
    </font>
    <font>
      <sz val="11"/>
      <color theme="1"/>
      <name val="Calibri"/>
      <charset val="134"/>
      <scheme val="minor"/>
    </font>
    <font>
      <b/>
      <sz val="18"/>
      <color rgb="FFFF0000"/>
      <name val="Calibri"/>
      <charset val="134"/>
      <scheme val="minor"/>
    </font>
  </fonts>
  <fills count="7">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85961485641044"/>
        <bgColor theme="4" tint="0.79985961485641044"/>
      </patternFill>
    </fill>
    <fill>
      <patternFill patternType="solid">
        <fgColor theme="4" tint="0.79992065187536243"/>
        <bgColor theme="4" tint="0.79992065187536243"/>
      </patternFill>
    </fill>
    <fill>
      <patternFill patternType="solid">
        <fgColor rgb="FFF0F7FE"/>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theme="0"/>
      </right>
      <top style="thick">
        <color theme="0"/>
      </top>
      <bottom style="thin">
        <color theme="0"/>
      </bottom>
      <diagonal/>
    </border>
    <border>
      <left style="thin">
        <color theme="0"/>
      </left>
      <right style="thin">
        <color theme="0"/>
      </right>
      <top style="thick">
        <color theme="0"/>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bottom style="thick">
        <color theme="0"/>
      </bottom>
      <diagonal/>
    </border>
    <border>
      <left style="thin">
        <color theme="0"/>
      </left>
      <right style="thin">
        <color theme="0"/>
      </right>
      <top style="thin">
        <color theme="0"/>
      </top>
      <bottom/>
      <diagonal/>
    </border>
  </borders>
  <cellStyleXfs count="1">
    <xf numFmtId="0" fontId="0" fillId="0" borderId="0"/>
  </cellStyleXfs>
  <cellXfs count="28">
    <xf numFmtId="0" fontId="0" fillId="0" borderId="0" xfId="0"/>
    <xf numFmtId="0" fontId="1"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2" fillId="0" borderId="0" xfId="0" applyFont="1"/>
    <xf numFmtId="0" fontId="3" fillId="2" borderId="1" xfId="0" applyFont="1" applyFill="1" applyBorder="1" applyAlignment="1">
      <alignment horizontal="center" vertical="top"/>
    </xf>
    <xf numFmtId="0" fontId="0" fillId="3" borderId="2" xfId="0" applyFill="1" applyBorder="1"/>
    <xf numFmtId="0" fontId="0" fillId="3" borderId="3" xfId="0" applyFill="1" applyBorder="1"/>
    <xf numFmtId="0" fontId="0" fillId="4" borderId="4" xfId="0" applyFill="1" applyBorder="1"/>
    <xf numFmtId="0" fontId="0" fillId="3" borderId="4" xfId="0" applyFill="1" applyBorder="1"/>
    <xf numFmtId="0" fontId="0" fillId="0" borderId="0" xfId="0" applyAlignment="1">
      <alignment horizontal="center"/>
    </xf>
    <xf numFmtId="0" fontId="0" fillId="3" borderId="5" xfId="0" applyFill="1" applyBorder="1"/>
    <xf numFmtId="0" fontId="4" fillId="2" borderId="6" xfId="0" applyFont="1" applyFill="1" applyBorder="1"/>
    <xf numFmtId="0" fontId="4" fillId="2" borderId="7" xfId="0" applyFont="1" applyFill="1" applyBorder="1"/>
    <xf numFmtId="0" fontId="0" fillId="4" borderId="8" xfId="0" applyFill="1" applyBorder="1"/>
    <xf numFmtId="0" fontId="0" fillId="4" borderId="9" xfId="0" applyFill="1" applyBorder="1"/>
    <xf numFmtId="0" fontId="0" fillId="3" borderId="8" xfId="0" applyFill="1" applyBorder="1"/>
    <xf numFmtId="0" fontId="0" fillId="3" borderId="9" xfId="0" applyFill="1" applyBorder="1"/>
    <xf numFmtId="0" fontId="5" fillId="0" borderId="0" xfId="0" applyFont="1" applyAlignment="1">
      <alignment horizontal="left" vertical="center" indent="1"/>
    </xf>
    <xf numFmtId="0" fontId="4" fillId="2" borderId="10" xfId="0" applyFont="1" applyFill="1" applyBorder="1"/>
    <xf numFmtId="0" fontId="0" fillId="5" borderId="8" xfId="0" applyFill="1" applyBorder="1"/>
    <xf numFmtId="0" fontId="0" fillId="5" borderId="11" xfId="0" applyFill="1" applyBorder="1"/>
    <xf numFmtId="0" fontId="3" fillId="0" borderId="1" xfId="0" applyFont="1" applyBorder="1" applyAlignment="1">
      <alignment horizontal="center" vertical="top"/>
    </xf>
    <xf numFmtId="0" fontId="6" fillId="0" borderId="0" xfId="0" applyFont="1" applyAlignment="1">
      <alignment vertical="center"/>
    </xf>
    <xf numFmtId="0" fontId="2" fillId="0" borderId="0" xfId="0" applyFont="1" applyAlignment="1">
      <alignment horizontal="left" vertical="center" indent="1"/>
    </xf>
    <xf numFmtId="0" fontId="0" fillId="0" borderId="0" xfId="0" pivotButton="1"/>
    <xf numFmtId="0" fontId="0" fillId="0" borderId="0" xfId="0" applyAlignment="1">
      <alignment horizontal="left"/>
    </xf>
    <xf numFmtId="0" fontId="0" fillId="6" borderId="0" xfId="0" applyFill="1"/>
  </cellXfs>
  <cellStyles count="1">
    <cellStyle name="Normal" xfId="0" builtinId="0"/>
  </cellStyles>
  <dxfs count="13">
    <dxf>
      <fill>
        <patternFill patternType="solid">
          <bgColor rgb="FFFF9900"/>
        </patternFill>
      </fill>
    </dxf>
    <dxf>
      <fill>
        <patternFill patternType="solid">
          <bgColor rgb="FFFFC000"/>
        </patternFill>
      </fill>
    </dxf>
    <dxf>
      <fill>
        <patternFill patternType="solid">
          <bgColor theme="5" tint="0.39991454817346722"/>
        </patternFill>
      </fill>
    </dxf>
    <dxf>
      <numFmt numFmtId="0" formatCode="General"/>
    </dxf>
    <dxf>
      <font>
        <color theme="1"/>
      </font>
      <fill>
        <patternFill patternType="solid">
          <fgColor theme="4" tint="0.59999389629810485"/>
          <bgColor theme="4" tint="0.59999389629810485"/>
        </patternFill>
      </fill>
      <border>
        <left style="thin">
          <color theme="0"/>
        </left>
        <right style="thin">
          <color theme="0"/>
        </right>
        <top style="thick">
          <color theme="0"/>
        </top>
        <bottom style="thin">
          <color theme="0"/>
        </bottom>
      </border>
    </dxf>
    <dxf>
      <numFmt numFmtId="0" formatCode="General"/>
      <fill>
        <patternFill patternType="solid">
          <fgColor theme="4" tint="0.59999389629810485"/>
          <bgColor theme="4" tint="0.59999389629810485"/>
        </patternFill>
      </fill>
      <border>
        <left style="thin">
          <color theme="0"/>
        </left>
        <right style="thin">
          <color theme="0"/>
        </right>
        <top style="thick">
          <color theme="0"/>
        </top>
        <bottom style="thin">
          <color theme="0"/>
        </bottom>
      </border>
    </dxf>
    <dxf>
      <font>
        <color theme="1"/>
      </font>
      <fill>
        <patternFill patternType="solid">
          <fgColor theme="4" tint="0.59999389629810485"/>
          <bgColor theme="4" tint="0.59999389629810485"/>
        </patternFill>
      </fill>
      <border>
        <left style="thin">
          <color theme="0"/>
        </left>
        <right style="thin">
          <color theme="0"/>
        </right>
        <top style="thick">
          <color theme="0"/>
        </top>
        <bottom style="thin">
          <color theme="0"/>
        </bottom>
      </border>
    </dxf>
    <dxf>
      <font>
        <b val="0"/>
        <i val="0"/>
        <strike val="0"/>
        <u val="none"/>
        <sz val="11"/>
        <color theme="1"/>
        <name val="Calibri"/>
        <charset val="134"/>
        <scheme val="none"/>
      </font>
      <fill>
        <patternFill patternType="solid">
          <fgColor theme="4" tint="0.79992065187536243"/>
          <bgColor theme="4" tint="0.79992065187536243"/>
        </patternFill>
      </fill>
      <border>
        <left style="thin">
          <color theme="0"/>
        </left>
        <right style="thin">
          <color theme="0"/>
        </right>
        <top style="thin">
          <color theme="0"/>
        </top>
        <bottom style="thin">
          <color theme="0"/>
        </bottom>
      </border>
    </dxf>
    <dxf>
      <numFmt numFmtId="0" formatCode="General"/>
    </dxf>
    <dxf>
      <numFmt numFmtId="0" formatCode="General"/>
    </dxf>
    <dxf>
      <font>
        <color rgb="FF9C0006"/>
      </font>
      <fill>
        <patternFill>
          <bgColor rgb="FFFFC7CE"/>
        </patternFill>
      </fill>
    </dxf>
    <dxf>
      <font>
        <color rgb="FF9C0006"/>
      </font>
      <fill>
        <patternFill>
          <bgColor rgb="FFFFC7CE"/>
        </patternFill>
      </fill>
    </dxf>
    <dxf>
      <font>
        <color theme="0"/>
      </font>
      <fill>
        <patternFill patternType="solid">
          <bgColor theme="1"/>
        </patternFill>
      </fill>
      <border>
        <left style="thin">
          <color auto="1"/>
        </left>
      </border>
    </dxf>
  </dxfs>
  <tableStyles count="1" defaultTableStyle="TableStyleMedium9" defaultPivotStyle="PivotStyleLight16">
    <tableStyle name="custom" pivot="0" table="0" count="1" xr9:uid="{A6FC5CA0-548D-45C3-8F63-329FE4189401}">
      <tableStyleElement type="wholeTable" dxfId="12"/>
    </tableStyle>
  </tableStyles>
  <colors>
    <mruColors>
      <color rgb="FFF9D4FC"/>
      <color rgb="FFF299F9"/>
      <color rgb="FFB4F8A6"/>
      <color rgb="FFFACDCA"/>
      <color rgb="FF4CE2EE"/>
      <color rgb="FFBDF9E6"/>
      <color rgb="FFC7F9BD"/>
      <color rgb="FFE1FCDC"/>
      <color rgb="FFDFD2F2"/>
      <color rgb="FF99F686"/>
    </mruColors>
  </colors>
  <extLst>
    <ext xmlns:x14="http://schemas.microsoft.com/office/spreadsheetml/2009/9/main" uri="{EB79DEF2-80B8-43e5-95BD-54CBDDF9020C}">
      <x14:slicerStyles defaultSlicerStyle="SlicerStyleLight1">
        <x14:slicerStyle name="custom"/>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[Student_Data_Analysis_using_excel.xlsx]Problem3!PivotTable3</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706255468067"/>
          <c:y val="0.12397929425488501"/>
          <c:w val="0.54273818897637804"/>
          <c:h val="0.74084354039078404"/>
        </c:manualLayout>
      </c:layout>
      <c:barChart>
        <c:barDir val="bar"/>
        <c:grouping val="clustered"/>
        <c:varyColors val="0"/>
        <c:ser>
          <c:idx val="0"/>
          <c:order val="0"/>
          <c:tx>
            <c:strRef>
              <c:f>Problem3!$B$21</c:f>
              <c:strCache>
                <c:ptCount val="1"/>
                <c:pt idx="0">
                  <c:v>Count of StudentID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Problem3!$A$22:$A$27</c:f>
              <c:strCache>
                <c:ptCount val="5"/>
                <c:pt idx="0">
                  <c:v>Civil</c:v>
                </c:pt>
                <c:pt idx="1">
                  <c:v>Computer Sci</c:v>
                </c:pt>
                <c:pt idx="2">
                  <c:v>Electronics</c:v>
                </c:pt>
                <c:pt idx="3">
                  <c:v>Management</c:v>
                </c:pt>
                <c:pt idx="4">
                  <c:v>Mechanical</c:v>
                </c:pt>
              </c:strCache>
            </c:strRef>
          </c:cat>
          <c:val>
            <c:numRef>
              <c:f>Problem3!$B$22:$B$27</c:f>
              <c:numCache>
                <c:formatCode>General</c:formatCode>
                <c:ptCount val="5"/>
                <c:pt idx="0">
                  <c:v>101</c:v>
                </c:pt>
                <c:pt idx="1">
                  <c:v>96</c:v>
                </c:pt>
                <c:pt idx="2">
                  <c:v>77</c:v>
                </c:pt>
                <c:pt idx="3">
                  <c:v>118</c:v>
                </c:pt>
                <c:pt idx="4">
                  <c:v>108</c:v>
                </c:pt>
              </c:numCache>
            </c:numRef>
          </c:val>
          <c:extLst>
            <c:ext xmlns:c16="http://schemas.microsoft.com/office/drawing/2014/chart" uri="{C3380CC4-5D6E-409C-BE32-E72D297353CC}">
              <c16:uniqueId val="{00000000-6535-4170-88F4-3A71DB071141}"/>
            </c:ext>
          </c:extLst>
        </c:ser>
        <c:ser>
          <c:idx val="1"/>
          <c:order val="1"/>
          <c:tx>
            <c:strRef>
              <c:f>Problem3!$C$21</c:f>
              <c:strCache>
                <c:ptCount val="1"/>
                <c:pt idx="0">
                  <c:v>Average of Average GPA</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Problem3!$A$22:$A$27</c:f>
              <c:strCache>
                <c:ptCount val="5"/>
                <c:pt idx="0">
                  <c:v>Civil</c:v>
                </c:pt>
                <c:pt idx="1">
                  <c:v>Computer Sci</c:v>
                </c:pt>
                <c:pt idx="2">
                  <c:v>Electronics</c:v>
                </c:pt>
                <c:pt idx="3">
                  <c:v>Management</c:v>
                </c:pt>
                <c:pt idx="4">
                  <c:v>Mechanical</c:v>
                </c:pt>
              </c:strCache>
            </c:strRef>
          </c:cat>
          <c:val>
            <c:numRef>
              <c:f>Problem3!$C$22:$C$27</c:f>
              <c:numCache>
                <c:formatCode>General</c:formatCode>
                <c:ptCount val="5"/>
                <c:pt idx="0">
                  <c:v>5.782178217821782</c:v>
                </c:pt>
                <c:pt idx="1">
                  <c:v>5.333333333333333</c:v>
                </c:pt>
                <c:pt idx="2">
                  <c:v>5.4805194805194803</c:v>
                </c:pt>
                <c:pt idx="3">
                  <c:v>5.6779661016949152</c:v>
                </c:pt>
                <c:pt idx="4">
                  <c:v>5.166666666666667</c:v>
                </c:pt>
              </c:numCache>
            </c:numRef>
          </c:val>
          <c:extLst>
            <c:ext xmlns:c16="http://schemas.microsoft.com/office/drawing/2014/chart" uri="{C3380CC4-5D6E-409C-BE32-E72D297353CC}">
              <c16:uniqueId val="{00000001-6535-4170-88F4-3A71DB071141}"/>
            </c:ext>
          </c:extLst>
        </c:ser>
        <c:dLbls>
          <c:showLegendKey val="0"/>
          <c:showVal val="1"/>
          <c:showCatName val="0"/>
          <c:showSerName val="0"/>
          <c:showPercent val="0"/>
          <c:showBubbleSize val="0"/>
        </c:dLbls>
        <c:gapWidth val="150"/>
        <c:axId val="1491215888"/>
        <c:axId val="1491213488"/>
      </c:barChart>
      <c:catAx>
        <c:axId val="1491215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491213488"/>
        <c:crosses val="autoZero"/>
        <c:auto val="1"/>
        <c:lblAlgn val="ctr"/>
        <c:lblOffset val="100"/>
        <c:noMultiLvlLbl val="0"/>
      </c:catAx>
      <c:valAx>
        <c:axId val="1491213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49121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fc65b36f-0fd0-4711-a660-a888053c371a}"/>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[Student_Data_Analysis_using_excel.xlsx]Problem2!PivotTable2</c:name>
    <c:fmtId val="4"/>
  </c:pivotSource>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Problem2!$B$15</c:f>
              <c:strCache>
                <c:ptCount val="1"/>
                <c:pt idx="0">
                  <c:v>Count of EnrollmentID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C8-4E1C-AB75-CE647B0229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C8-4E1C-AB75-CE647B0229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C8-4E1C-AB75-CE647B0229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C8-4E1C-AB75-CE647B0229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1C8-4E1C-AB75-CE647B0229C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1C8-4E1C-AB75-CE647B0229C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1C8-4E1C-AB75-CE647B0229C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1C8-4E1C-AB75-CE647B0229C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1C8-4E1C-AB75-CE647B0229C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1C8-4E1C-AB75-CE647B0229C6}"/>
              </c:ext>
            </c:extLst>
          </c:dPt>
          <c:cat>
            <c:strRef>
              <c:f>Problem2!$A$16:$A$26</c:f>
              <c:strCache>
                <c:ptCount val="10"/>
                <c:pt idx="0">
                  <c:v>Marketing</c:v>
                </c:pt>
                <c:pt idx="1">
                  <c:v>Structural Analysis</c:v>
                </c:pt>
                <c:pt idx="2">
                  <c:v>Digital Logic</c:v>
                </c:pt>
                <c:pt idx="3">
                  <c:v>Fluid Mechanics</c:v>
                </c:pt>
                <c:pt idx="4">
                  <c:v>AI &amp; ML</c:v>
                </c:pt>
                <c:pt idx="5">
                  <c:v>Circuits</c:v>
                </c:pt>
                <c:pt idx="6">
                  <c:v>Thermodynamics</c:v>
                </c:pt>
                <c:pt idx="7">
                  <c:v>Finance</c:v>
                </c:pt>
                <c:pt idx="8">
                  <c:v>DBMS</c:v>
                </c:pt>
                <c:pt idx="9">
                  <c:v>Data Structures</c:v>
                </c:pt>
              </c:strCache>
            </c:strRef>
          </c:cat>
          <c:val>
            <c:numRef>
              <c:f>Problem2!$B$16:$B$26</c:f>
              <c:numCache>
                <c:formatCode>General</c:formatCode>
                <c:ptCount val="10"/>
                <c:pt idx="0">
                  <c:v>63</c:v>
                </c:pt>
                <c:pt idx="1">
                  <c:v>56</c:v>
                </c:pt>
                <c:pt idx="2">
                  <c:v>55</c:v>
                </c:pt>
                <c:pt idx="3">
                  <c:v>54</c:v>
                </c:pt>
                <c:pt idx="4">
                  <c:v>52</c:v>
                </c:pt>
                <c:pt idx="5">
                  <c:v>47</c:v>
                </c:pt>
                <c:pt idx="6">
                  <c:v>46</c:v>
                </c:pt>
                <c:pt idx="7">
                  <c:v>43</c:v>
                </c:pt>
                <c:pt idx="8">
                  <c:v>43</c:v>
                </c:pt>
                <c:pt idx="9">
                  <c:v>41</c:v>
                </c:pt>
              </c:numCache>
            </c:numRef>
          </c:val>
          <c:extLst>
            <c:ext xmlns:c16="http://schemas.microsoft.com/office/drawing/2014/chart" uri="{C3380CC4-5D6E-409C-BE32-E72D297353CC}">
              <c16:uniqueId val="{00000014-51C8-4E1C-AB75-CE647B0229C6}"/>
            </c:ext>
          </c:extLst>
        </c:ser>
        <c:ser>
          <c:idx val="1"/>
          <c:order val="1"/>
          <c:tx>
            <c:strRef>
              <c:f>Problem2!$C$15</c:f>
              <c:strCache>
                <c:ptCount val="1"/>
                <c:pt idx="0">
                  <c:v>Average of Average GPA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51C8-4E1C-AB75-CE647B0229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51C8-4E1C-AB75-CE647B0229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51C8-4E1C-AB75-CE647B0229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51C8-4E1C-AB75-CE647B0229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51C8-4E1C-AB75-CE647B0229C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0-51C8-4E1C-AB75-CE647B0229C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2-51C8-4E1C-AB75-CE647B0229C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51C8-4E1C-AB75-CE647B0229C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6-51C8-4E1C-AB75-CE647B0229C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51C8-4E1C-AB75-CE647B0229C6}"/>
              </c:ext>
            </c:extLst>
          </c:dPt>
          <c:cat>
            <c:strRef>
              <c:f>Problem2!$A$16:$A$26</c:f>
              <c:strCache>
                <c:ptCount val="10"/>
                <c:pt idx="0">
                  <c:v>Marketing</c:v>
                </c:pt>
                <c:pt idx="1">
                  <c:v>Structural Analysis</c:v>
                </c:pt>
                <c:pt idx="2">
                  <c:v>Digital Logic</c:v>
                </c:pt>
                <c:pt idx="3">
                  <c:v>Fluid Mechanics</c:v>
                </c:pt>
                <c:pt idx="4">
                  <c:v>AI &amp; ML</c:v>
                </c:pt>
                <c:pt idx="5">
                  <c:v>Circuits</c:v>
                </c:pt>
                <c:pt idx="6">
                  <c:v>Thermodynamics</c:v>
                </c:pt>
                <c:pt idx="7">
                  <c:v>Finance</c:v>
                </c:pt>
                <c:pt idx="8">
                  <c:v>DBMS</c:v>
                </c:pt>
                <c:pt idx="9">
                  <c:v>Data Structures</c:v>
                </c:pt>
              </c:strCache>
            </c:strRef>
          </c:cat>
          <c:val>
            <c:numRef>
              <c:f>Problem2!$C$16:$C$26</c:f>
              <c:numCache>
                <c:formatCode>General</c:formatCode>
                <c:ptCount val="10"/>
                <c:pt idx="0">
                  <c:v>4.8253968253968251</c:v>
                </c:pt>
                <c:pt idx="1">
                  <c:v>5.9642857142857144</c:v>
                </c:pt>
                <c:pt idx="2">
                  <c:v>5.6363636363636367</c:v>
                </c:pt>
                <c:pt idx="3">
                  <c:v>5.7407407407407405</c:v>
                </c:pt>
                <c:pt idx="4">
                  <c:v>5.115384615384615</c:v>
                </c:pt>
                <c:pt idx="5">
                  <c:v>5.1063829787234045</c:v>
                </c:pt>
                <c:pt idx="6">
                  <c:v>5.9565217391304346</c:v>
                </c:pt>
                <c:pt idx="7">
                  <c:v>5.0232558139534884</c:v>
                </c:pt>
                <c:pt idx="8">
                  <c:v>5.5813953488372094</c:v>
                </c:pt>
                <c:pt idx="9">
                  <c:v>6.1463414634146343</c:v>
                </c:pt>
              </c:numCache>
            </c:numRef>
          </c:val>
          <c:extLst>
            <c:ext xmlns:c16="http://schemas.microsoft.com/office/drawing/2014/chart" uri="{C3380CC4-5D6E-409C-BE32-E72D297353CC}">
              <c16:uniqueId val="{00000029-51C8-4E1C-AB75-CE647B0229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85d6294-56c7-4ce8-a1f5-f78a21a830a8}"/>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[Student_Data_Analysis_using_excel.xlsx]Problem statement!PivotTable2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'Problem statement'!$H$106</c:f>
              <c:strCache>
                <c:ptCount val="1"/>
                <c:pt idx="0">
                  <c:v>Total</c:v>
                </c:pt>
              </c:strCache>
            </c:strRef>
          </c:tx>
          <c:spPr>
            <a:ln w="28575" cap="rnd">
              <a:solidFill>
                <a:schemeClr val="accent1"/>
              </a:solidFill>
              <a:round/>
            </a:ln>
            <a:effectLst/>
          </c:spPr>
          <c:marker>
            <c:symbol val="none"/>
          </c:marker>
          <c:cat>
            <c:strRef>
              <c:f>'Problem statement'!$G$107:$G$111</c:f>
              <c:strCache>
                <c:ptCount val="4"/>
                <c:pt idx="0">
                  <c:v>Sem 1 2024</c:v>
                </c:pt>
                <c:pt idx="1">
                  <c:v>Sem 1 2025</c:v>
                </c:pt>
                <c:pt idx="2">
                  <c:v>Sem 2 2024</c:v>
                </c:pt>
                <c:pt idx="3">
                  <c:v>Sem 2 2025</c:v>
                </c:pt>
              </c:strCache>
            </c:strRef>
          </c:cat>
          <c:val>
            <c:numRef>
              <c:f>'Problem statement'!$H$107:$H$111</c:f>
              <c:numCache>
                <c:formatCode>General</c:formatCode>
                <c:ptCount val="4"/>
                <c:pt idx="0">
                  <c:v>5.2521739130434781</c:v>
                </c:pt>
                <c:pt idx="1">
                  <c:v>5.5524475524475525</c:v>
                </c:pt>
                <c:pt idx="2">
                  <c:v>5.5714285714285712</c:v>
                </c:pt>
                <c:pt idx="3">
                  <c:v>5.569230769230769</c:v>
                </c:pt>
              </c:numCache>
            </c:numRef>
          </c:val>
          <c:smooth val="0"/>
          <c:extLst>
            <c:ext xmlns:c16="http://schemas.microsoft.com/office/drawing/2014/chart" uri="{C3380CC4-5D6E-409C-BE32-E72D297353CC}">
              <c16:uniqueId val="{00000000-1468-4C56-BACD-34A1B5601DC0}"/>
            </c:ext>
          </c:extLst>
        </c:ser>
        <c:dLbls>
          <c:showLegendKey val="0"/>
          <c:showVal val="0"/>
          <c:showCatName val="0"/>
          <c:showSerName val="0"/>
          <c:showPercent val="0"/>
          <c:showBubbleSize val="0"/>
        </c:dLbls>
        <c:smooth val="0"/>
        <c:axId val="1405379919"/>
        <c:axId val="1405405359"/>
      </c:lineChart>
      <c:catAx>
        <c:axId val="14053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405359"/>
        <c:crosses val="autoZero"/>
        <c:auto val="1"/>
        <c:lblAlgn val="ctr"/>
        <c:lblOffset val="100"/>
        <c:noMultiLvlLbl val="0"/>
      </c:catAx>
      <c:valAx>
        <c:axId val="140540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3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[Student_Data_Analysis_using_excel.xlsx]Problem3!PivotTable3</c:name>
    <c:fmtId val="10"/>
  </c:pivotSource>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IN" b="1"/>
              <a:t>Avg GPA &amp; Count of Students By Dept</a:t>
            </a:r>
          </a:p>
        </c:rich>
      </c:tx>
      <c:layout>
        <c:manualLayout>
          <c:xMode val="edge"/>
          <c:yMode val="edge"/>
          <c:x val="0.25220258974097737"/>
          <c:y val="5.9260762507779313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a:sp3d/>
        </c:spPr>
      </c:pivotFmt>
      <c:pivotFmt>
        <c:idx val="7"/>
        <c:spPr>
          <a:solidFill>
            <a:schemeClr val="accent1">
              <a:lumMod val="75000"/>
            </a:schemeClr>
          </a:solidFill>
          <a:ln>
            <a:noFill/>
          </a:ln>
          <a:effectLst/>
          <a:sp3d/>
        </c:spPr>
      </c:pivotFmt>
      <c:pivotFmt>
        <c:idx val="8"/>
        <c:spPr>
          <a:solidFill>
            <a:schemeClr val="accent6">
              <a:lumMod val="75000"/>
            </a:schemeClr>
          </a:solidFill>
          <a:ln>
            <a:noFill/>
          </a:ln>
          <a:effectLst/>
          <a:sp3d/>
        </c:spPr>
      </c:pivotFmt>
      <c:pivotFmt>
        <c:idx val="9"/>
        <c:spPr>
          <a:solidFill>
            <a:schemeClr val="tx2">
              <a:lumMod val="40000"/>
              <a:lumOff val="60000"/>
            </a:schemeClr>
          </a:solidFill>
          <a:ln>
            <a:noFill/>
          </a:ln>
          <a:effectLst/>
          <a:sp3d/>
        </c:spPr>
      </c:pivotFmt>
      <c:pivotFmt>
        <c:idx val="10"/>
        <c:spPr>
          <a:solidFill>
            <a:schemeClr val="tx2">
              <a:lumMod val="75000"/>
            </a:schemeClr>
          </a:solidFill>
          <a:ln>
            <a:noFill/>
          </a:ln>
          <a:effectLst/>
          <a:sp3d/>
        </c:spPr>
      </c:pivotFmt>
      <c:pivotFmt>
        <c:idx val="11"/>
        <c:spPr>
          <a:solidFill>
            <a:srgbClr val="FACDCA"/>
          </a:solidFill>
          <a:ln>
            <a:noFill/>
          </a:ln>
          <a:effectLst/>
          <a:sp3d/>
        </c:spPr>
      </c:pivotFmt>
      <c:pivotFmt>
        <c:idx val="12"/>
        <c:spPr>
          <a:solidFill>
            <a:srgbClr val="00B0F0"/>
          </a:solidFill>
          <a:ln>
            <a:noFill/>
          </a:ln>
          <a:effectLst/>
          <a:sp3d/>
        </c:spPr>
      </c:pivotFmt>
      <c:pivotFmt>
        <c:idx val="13"/>
        <c:spPr>
          <a:solidFill>
            <a:srgbClr val="B4F8A6"/>
          </a:solidFill>
          <a:ln>
            <a:noFill/>
          </a:ln>
          <a:effectLst/>
          <a:sp3d/>
        </c:spPr>
      </c:pivotFmt>
      <c:pivotFmt>
        <c:idx val="14"/>
        <c:spPr>
          <a:solidFill>
            <a:schemeClr val="accent5">
              <a:lumMod val="50000"/>
            </a:schemeClr>
          </a:solidFill>
          <a:ln>
            <a:noFill/>
          </a:ln>
          <a:effectLst/>
          <a:sp3d/>
        </c:spPr>
      </c:pivotFmt>
    </c:pivotFmts>
    <c:plotArea>
      <c:layout>
        <c:manualLayout>
          <c:layoutTarget val="inner"/>
          <c:xMode val="edge"/>
          <c:yMode val="edge"/>
          <c:x val="0.357706255468067"/>
          <c:y val="0.12397929425488501"/>
          <c:w val="0.54273818897637804"/>
          <c:h val="0.74084354039078404"/>
        </c:manualLayout>
      </c:layout>
      <c:barChart>
        <c:barDir val="bar"/>
        <c:grouping val="clustered"/>
        <c:varyColors val="0"/>
        <c:ser>
          <c:idx val="0"/>
          <c:order val="0"/>
          <c:tx>
            <c:strRef>
              <c:f>Problem3!$B$21</c:f>
              <c:strCache>
                <c:ptCount val="1"/>
                <c:pt idx="0">
                  <c:v>Count of StudentID</c:v>
                </c:pt>
              </c:strCache>
            </c:strRef>
          </c:tx>
          <c:spPr>
            <a:solidFill>
              <a:schemeClr val="accent1"/>
            </a:solidFill>
            <a:ln>
              <a:noFill/>
            </a:ln>
            <a:effectLst/>
            <a:sp3d/>
          </c:spPr>
          <c:invertIfNegative val="0"/>
          <c:dPt>
            <c:idx val="0"/>
            <c:invertIfNegative val="0"/>
            <c:bubble3D val="0"/>
            <c:spPr>
              <a:solidFill>
                <a:schemeClr val="accent5">
                  <a:lumMod val="50000"/>
                </a:schemeClr>
              </a:solidFill>
              <a:ln>
                <a:noFill/>
              </a:ln>
              <a:effectLst/>
              <a:sp3d/>
            </c:spPr>
            <c:extLst>
              <c:ext xmlns:c16="http://schemas.microsoft.com/office/drawing/2014/chart" uri="{C3380CC4-5D6E-409C-BE32-E72D297353CC}">
                <c16:uniqueId val="{00000008-6AFE-4E0E-8E0A-183231EAFE46}"/>
              </c:ext>
            </c:extLst>
          </c:dPt>
          <c:dPt>
            <c:idx val="1"/>
            <c:invertIfNegative val="0"/>
            <c:bubble3D val="0"/>
            <c:spPr>
              <a:solidFill>
                <a:srgbClr val="00B0F0"/>
              </a:solidFill>
              <a:ln>
                <a:noFill/>
              </a:ln>
              <a:effectLst/>
              <a:sp3d/>
            </c:spPr>
            <c:extLst>
              <c:ext xmlns:c16="http://schemas.microsoft.com/office/drawing/2014/chart" uri="{C3380CC4-5D6E-409C-BE32-E72D297353CC}">
                <c16:uniqueId val="{00000006-6AFE-4E0E-8E0A-183231EAFE46}"/>
              </c:ext>
            </c:extLst>
          </c:dPt>
          <c:dPt>
            <c:idx val="2"/>
            <c:invertIfNegative val="0"/>
            <c:bubble3D val="0"/>
            <c:spPr>
              <a:solidFill>
                <a:schemeClr val="tx2">
                  <a:lumMod val="40000"/>
                  <a:lumOff val="60000"/>
                </a:schemeClr>
              </a:solidFill>
              <a:ln>
                <a:noFill/>
              </a:ln>
              <a:effectLst/>
              <a:sp3d/>
            </c:spPr>
            <c:extLst>
              <c:ext xmlns:c16="http://schemas.microsoft.com/office/drawing/2014/chart" uri="{C3380CC4-5D6E-409C-BE32-E72D297353CC}">
                <c16:uniqueId val="{00000003-6AFE-4E0E-8E0A-183231EAFE46}"/>
              </c:ext>
            </c:extLst>
          </c:dPt>
          <c:dPt>
            <c:idx val="3"/>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2-6AFE-4E0E-8E0A-183231EAFE46}"/>
              </c:ext>
            </c:extLst>
          </c:dPt>
          <c:dPt>
            <c:idx val="4"/>
            <c:invertIfNegative val="0"/>
            <c:bubble3D val="0"/>
            <c:spPr>
              <a:solidFill>
                <a:srgbClr val="92D050"/>
              </a:solidFill>
              <a:ln>
                <a:noFill/>
              </a:ln>
              <a:effectLst/>
              <a:sp3d/>
            </c:spPr>
            <c:extLst>
              <c:ext xmlns:c16="http://schemas.microsoft.com/office/drawing/2014/chart" uri="{C3380CC4-5D6E-409C-BE32-E72D297353CC}">
                <c16:uniqueId val="{00000000-6AFE-4E0E-8E0A-183231EAFE46}"/>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Problem3!$A$22:$A$27</c:f>
              <c:strCache>
                <c:ptCount val="5"/>
                <c:pt idx="0">
                  <c:v>Civil</c:v>
                </c:pt>
                <c:pt idx="1">
                  <c:v>Computer Sci</c:v>
                </c:pt>
                <c:pt idx="2">
                  <c:v>Electronics</c:v>
                </c:pt>
                <c:pt idx="3">
                  <c:v>Management</c:v>
                </c:pt>
                <c:pt idx="4">
                  <c:v>Mechanical</c:v>
                </c:pt>
              </c:strCache>
            </c:strRef>
          </c:cat>
          <c:val>
            <c:numRef>
              <c:f>Problem3!$B$22:$B$27</c:f>
              <c:numCache>
                <c:formatCode>General</c:formatCode>
                <c:ptCount val="5"/>
                <c:pt idx="0">
                  <c:v>101</c:v>
                </c:pt>
                <c:pt idx="1">
                  <c:v>96</c:v>
                </c:pt>
                <c:pt idx="2">
                  <c:v>77</c:v>
                </c:pt>
                <c:pt idx="3">
                  <c:v>118</c:v>
                </c:pt>
                <c:pt idx="4">
                  <c:v>108</c:v>
                </c:pt>
              </c:numCache>
            </c:numRef>
          </c:val>
          <c:extLst>
            <c:ext xmlns:c16="http://schemas.microsoft.com/office/drawing/2014/chart" uri="{C3380CC4-5D6E-409C-BE32-E72D297353CC}">
              <c16:uniqueId val="{00000000-2A26-4A59-84B6-FD5993C4D9D3}"/>
            </c:ext>
          </c:extLst>
        </c:ser>
        <c:ser>
          <c:idx val="1"/>
          <c:order val="1"/>
          <c:tx>
            <c:strRef>
              <c:f>Problem3!$C$21</c:f>
              <c:strCache>
                <c:ptCount val="1"/>
                <c:pt idx="0">
                  <c:v>Average of Average GPA</c:v>
                </c:pt>
              </c:strCache>
            </c:strRef>
          </c:tx>
          <c:spPr>
            <a:solidFill>
              <a:schemeClr val="accent2"/>
            </a:solidFill>
            <a:ln>
              <a:noFill/>
            </a:ln>
            <a:effectLst/>
            <a:sp3d/>
          </c:spPr>
          <c:invertIfNegative val="0"/>
          <c:dPt>
            <c:idx val="0"/>
            <c:invertIfNegative val="0"/>
            <c:bubble3D val="0"/>
            <c:spPr>
              <a:solidFill>
                <a:srgbClr val="B4F8A6"/>
              </a:solidFill>
              <a:ln>
                <a:noFill/>
              </a:ln>
              <a:effectLst/>
              <a:sp3d/>
            </c:spPr>
            <c:extLst>
              <c:ext xmlns:c16="http://schemas.microsoft.com/office/drawing/2014/chart" uri="{C3380CC4-5D6E-409C-BE32-E72D297353CC}">
                <c16:uniqueId val="{00000007-6AFE-4E0E-8E0A-183231EAFE46}"/>
              </c:ext>
            </c:extLst>
          </c:dPt>
          <c:dPt>
            <c:idx val="1"/>
            <c:invertIfNegative val="0"/>
            <c:bubble3D val="0"/>
            <c:spPr>
              <a:solidFill>
                <a:srgbClr val="FACDCA"/>
              </a:solidFill>
              <a:ln>
                <a:noFill/>
              </a:ln>
              <a:effectLst/>
              <a:sp3d/>
            </c:spPr>
            <c:extLst>
              <c:ext xmlns:c16="http://schemas.microsoft.com/office/drawing/2014/chart" uri="{C3380CC4-5D6E-409C-BE32-E72D297353CC}">
                <c16:uniqueId val="{00000005-6AFE-4E0E-8E0A-183231EAFE46}"/>
              </c:ext>
            </c:extLst>
          </c:dPt>
          <c:dPt>
            <c:idx val="2"/>
            <c:invertIfNegative val="0"/>
            <c:bubble3D val="0"/>
            <c:spPr>
              <a:solidFill>
                <a:schemeClr val="tx2">
                  <a:lumMod val="75000"/>
                </a:schemeClr>
              </a:solidFill>
              <a:ln>
                <a:noFill/>
              </a:ln>
              <a:effectLst/>
              <a:sp3d/>
            </c:spPr>
            <c:extLst>
              <c:ext xmlns:c16="http://schemas.microsoft.com/office/drawing/2014/chart" uri="{C3380CC4-5D6E-409C-BE32-E72D297353CC}">
                <c16:uniqueId val="{00000004-6AFE-4E0E-8E0A-183231EAFE46}"/>
              </c:ext>
            </c:extLst>
          </c:dPt>
          <c:dPt>
            <c:idx val="4"/>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1-6AFE-4E0E-8E0A-183231EAFE46}"/>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Problem3!$A$22:$A$27</c:f>
              <c:strCache>
                <c:ptCount val="5"/>
                <c:pt idx="0">
                  <c:v>Civil</c:v>
                </c:pt>
                <c:pt idx="1">
                  <c:v>Computer Sci</c:v>
                </c:pt>
                <c:pt idx="2">
                  <c:v>Electronics</c:v>
                </c:pt>
                <c:pt idx="3">
                  <c:v>Management</c:v>
                </c:pt>
                <c:pt idx="4">
                  <c:v>Mechanical</c:v>
                </c:pt>
              </c:strCache>
            </c:strRef>
          </c:cat>
          <c:val>
            <c:numRef>
              <c:f>Problem3!$C$22:$C$27</c:f>
              <c:numCache>
                <c:formatCode>General</c:formatCode>
                <c:ptCount val="5"/>
                <c:pt idx="0">
                  <c:v>5.782178217821782</c:v>
                </c:pt>
                <c:pt idx="1">
                  <c:v>5.333333333333333</c:v>
                </c:pt>
                <c:pt idx="2">
                  <c:v>5.4805194805194803</c:v>
                </c:pt>
                <c:pt idx="3">
                  <c:v>5.6779661016949152</c:v>
                </c:pt>
                <c:pt idx="4">
                  <c:v>5.166666666666667</c:v>
                </c:pt>
              </c:numCache>
            </c:numRef>
          </c:val>
          <c:extLst>
            <c:ext xmlns:c16="http://schemas.microsoft.com/office/drawing/2014/chart" uri="{C3380CC4-5D6E-409C-BE32-E72D297353CC}">
              <c16:uniqueId val="{00000001-2A26-4A59-84B6-FD5993C4D9D3}"/>
            </c:ext>
          </c:extLst>
        </c:ser>
        <c:dLbls>
          <c:dLblPos val="outEnd"/>
          <c:showLegendKey val="0"/>
          <c:showVal val="1"/>
          <c:showCatName val="0"/>
          <c:showSerName val="0"/>
          <c:showPercent val="0"/>
          <c:showBubbleSize val="0"/>
        </c:dLbls>
        <c:gapWidth val="110"/>
        <c:axId val="1491215888"/>
        <c:axId val="1491213488"/>
      </c:barChart>
      <c:catAx>
        <c:axId val="1491215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491213488"/>
        <c:crosses val="autoZero"/>
        <c:auto val="1"/>
        <c:lblAlgn val="ctr"/>
        <c:lblOffset val="100"/>
        <c:noMultiLvlLbl val="0"/>
      </c:catAx>
      <c:valAx>
        <c:axId val="1491213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49121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fc65b36f-0fd0-4711-a660-a888053c371a}"/>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[Student_Data_Analysis_using_excel.xlsx]Problem2!PivotTable2</c:name>
    <c:fmtId val="7"/>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b="1"/>
              <a:t>Total</a:t>
            </a:r>
            <a:r>
              <a:rPr lang="en-IN" b="1" baseline="0"/>
              <a:t> </a:t>
            </a:r>
            <a:r>
              <a:rPr lang="en-IN" b="1"/>
              <a:t>Enrollment</a:t>
            </a:r>
            <a:r>
              <a:rPr lang="en-IN" b="1" baseline="0"/>
              <a:t>s by Course</a:t>
            </a:r>
            <a:endParaRPr lang="en-IN" b="1"/>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s>
    <c:plotArea>
      <c:layout/>
      <c:pieChart>
        <c:varyColors val="1"/>
        <c:ser>
          <c:idx val="0"/>
          <c:order val="0"/>
          <c:tx>
            <c:strRef>
              <c:f>Problem2!$B$15</c:f>
              <c:strCache>
                <c:ptCount val="1"/>
                <c:pt idx="0">
                  <c:v>Count of EnrollmentID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00-41B1-A016-38EB2727FC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00-41B1-A016-38EB2727FC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00-41B1-A016-38EB2727FC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00-41B1-A016-38EB2727FC4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00-41B1-A016-38EB2727FC4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00-41B1-A016-38EB2727FC4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000-41B1-A016-38EB2727FC4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000-41B1-A016-38EB2727FC4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000-41B1-A016-38EB2727FC4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000-41B1-A016-38EB2727FC42}"/>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Problem2!$A$16:$A$26</c:f>
              <c:strCache>
                <c:ptCount val="10"/>
                <c:pt idx="0">
                  <c:v>Marketing</c:v>
                </c:pt>
                <c:pt idx="1">
                  <c:v>Structural Analysis</c:v>
                </c:pt>
                <c:pt idx="2">
                  <c:v>Digital Logic</c:v>
                </c:pt>
                <c:pt idx="3">
                  <c:v>Fluid Mechanics</c:v>
                </c:pt>
                <c:pt idx="4">
                  <c:v>AI &amp; ML</c:v>
                </c:pt>
                <c:pt idx="5">
                  <c:v>Circuits</c:v>
                </c:pt>
                <c:pt idx="6">
                  <c:v>Thermodynamics</c:v>
                </c:pt>
                <c:pt idx="7">
                  <c:v>Finance</c:v>
                </c:pt>
                <c:pt idx="8">
                  <c:v>DBMS</c:v>
                </c:pt>
                <c:pt idx="9">
                  <c:v>Data Structures</c:v>
                </c:pt>
              </c:strCache>
            </c:strRef>
          </c:cat>
          <c:val>
            <c:numRef>
              <c:f>Problem2!$B$16:$B$26</c:f>
              <c:numCache>
                <c:formatCode>General</c:formatCode>
                <c:ptCount val="10"/>
                <c:pt idx="0">
                  <c:v>63</c:v>
                </c:pt>
                <c:pt idx="1">
                  <c:v>56</c:v>
                </c:pt>
                <c:pt idx="2">
                  <c:v>55</c:v>
                </c:pt>
                <c:pt idx="3">
                  <c:v>54</c:v>
                </c:pt>
                <c:pt idx="4">
                  <c:v>52</c:v>
                </c:pt>
                <c:pt idx="5">
                  <c:v>47</c:v>
                </c:pt>
                <c:pt idx="6">
                  <c:v>46</c:v>
                </c:pt>
                <c:pt idx="7">
                  <c:v>43</c:v>
                </c:pt>
                <c:pt idx="8">
                  <c:v>43</c:v>
                </c:pt>
                <c:pt idx="9">
                  <c:v>41</c:v>
                </c:pt>
              </c:numCache>
            </c:numRef>
          </c:val>
          <c:extLst>
            <c:ext xmlns:c16="http://schemas.microsoft.com/office/drawing/2014/chart" uri="{C3380CC4-5D6E-409C-BE32-E72D297353CC}">
              <c16:uniqueId val="{00000014-2000-41B1-A016-38EB2727FC42}"/>
            </c:ext>
          </c:extLst>
        </c:ser>
        <c:ser>
          <c:idx val="1"/>
          <c:order val="1"/>
          <c:tx>
            <c:strRef>
              <c:f>Problem2!$C$15</c:f>
              <c:strCache>
                <c:ptCount val="1"/>
                <c:pt idx="0">
                  <c:v>Average of Average GPA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2000-41B1-A016-38EB2727FC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2000-41B1-A016-38EB2727FC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2000-41B1-A016-38EB2727FC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2000-41B1-A016-38EB2727FC4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2000-41B1-A016-38EB2727FC4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0-2000-41B1-A016-38EB2727FC4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2-2000-41B1-A016-38EB2727FC4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2000-41B1-A016-38EB2727FC4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6-2000-41B1-A016-38EB2727FC4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2000-41B1-A016-38EB2727FC42}"/>
              </c:ext>
            </c:extLst>
          </c:dPt>
          <c:cat>
            <c:strRef>
              <c:f>Problem2!$A$16:$A$26</c:f>
              <c:strCache>
                <c:ptCount val="10"/>
                <c:pt idx="0">
                  <c:v>Marketing</c:v>
                </c:pt>
                <c:pt idx="1">
                  <c:v>Structural Analysis</c:v>
                </c:pt>
                <c:pt idx="2">
                  <c:v>Digital Logic</c:v>
                </c:pt>
                <c:pt idx="3">
                  <c:v>Fluid Mechanics</c:v>
                </c:pt>
                <c:pt idx="4">
                  <c:v>AI &amp; ML</c:v>
                </c:pt>
                <c:pt idx="5">
                  <c:v>Circuits</c:v>
                </c:pt>
                <c:pt idx="6">
                  <c:v>Thermodynamics</c:v>
                </c:pt>
                <c:pt idx="7">
                  <c:v>Finance</c:v>
                </c:pt>
                <c:pt idx="8">
                  <c:v>DBMS</c:v>
                </c:pt>
                <c:pt idx="9">
                  <c:v>Data Structures</c:v>
                </c:pt>
              </c:strCache>
            </c:strRef>
          </c:cat>
          <c:val>
            <c:numRef>
              <c:f>Problem2!$C$16:$C$26</c:f>
              <c:numCache>
                <c:formatCode>General</c:formatCode>
                <c:ptCount val="10"/>
                <c:pt idx="0">
                  <c:v>4.8253968253968251</c:v>
                </c:pt>
                <c:pt idx="1">
                  <c:v>5.9642857142857144</c:v>
                </c:pt>
                <c:pt idx="2">
                  <c:v>5.6363636363636367</c:v>
                </c:pt>
                <c:pt idx="3">
                  <c:v>5.7407407407407405</c:v>
                </c:pt>
                <c:pt idx="4">
                  <c:v>5.115384615384615</c:v>
                </c:pt>
                <c:pt idx="5">
                  <c:v>5.1063829787234045</c:v>
                </c:pt>
                <c:pt idx="6">
                  <c:v>5.9565217391304346</c:v>
                </c:pt>
                <c:pt idx="7">
                  <c:v>5.0232558139534884</c:v>
                </c:pt>
                <c:pt idx="8">
                  <c:v>5.5813953488372094</c:v>
                </c:pt>
                <c:pt idx="9">
                  <c:v>6.1463414634146343</c:v>
                </c:pt>
              </c:numCache>
            </c:numRef>
          </c:val>
          <c:extLst>
            <c:ext xmlns:c16="http://schemas.microsoft.com/office/drawing/2014/chart" uri="{C3380CC4-5D6E-409C-BE32-E72D297353CC}">
              <c16:uniqueId val="{00000029-2000-41B1-A016-38EB2727FC4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336155266604204"/>
          <c:y val="0.29238371245261008"/>
          <c:w val="0.29576162061161981"/>
          <c:h val="0.58694553805774274"/>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85d6294-56c7-4ce8-a1f5-f78a21a830a8}"/>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[Student_Data_Analysis_using_excel.xlsx]Problem statement!PivotTable2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GPA</a:t>
            </a:r>
            <a:r>
              <a:rPr lang="en-US" b="1" baseline="0"/>
              <a:t> Trend Over Semesters</a:t>
            </a:r>
            <a:endParaRPr lang="en-US" b="1"/>
          </a:p>
        </c:rich>
      </c:tx>
      <c:layout>
        <c:manualLayout>
          <c:xMode val="edge"/>
          <c:yMode val="edge"/>
          <c:x val="0.37819447746651563"/>
          <c:y val="3.782264516400690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23834165489527"/>
          <c:y val="6.2534562858787043E-2"/>
          <c:w val="0.76555500874890636"/>
          <c:h val="0.75604585885097708"/>
        </c:manualLayout>
      </c:layout>
      <c:lineChart>
        <c:grouping val="stacked"/>
        <c:varyColors val="0"/>
        <c:ser>
          <c:idx val="0"/>
          <c:order val="0"/>
          <c:tx>
            <c:strRef>
              <c:f>'Problem statement'!$H$106</c:f>
              <c:strCache>
                <c:ptCount val="1"/>
                <c:pt idx="0">
                  <c:v>Total</c:v>
                </c:pt>
              </c:strCache>
            </c:strRef>
          </c:tx>
          <c:spPr>
            <a:ln w="28575" cap="rnd">
              <a:solidFill>
                <a:schemeClr val="accent1"/>
              </a:solidFill>
              <a:round/>
            </a:ln>
            <a:effectLst/>
          </c:spPr>
          <c:marker>
            <c:symbol val="none"/>
          </c:marker>
          <c:cat>
            <c:strRef>
              <c:f>'Problem statement'!$G$107:$G$111</c:f>
              <c:strCache>
                <c:ptCount val="4"/>
                <c:pt idx="0">
                  <c:v>Sem 1 2024</c:v>
                </c:pt>
                <c:pt idx="1">
                  <c:v>Sem 1 2025</c:v>
                </c:pt>
                <c:pt idx="2">
                  <c:v>Sem 2 2024</c:v>
                </c:pt>
                <c:pt idx="3">
                  <c:v>Sem 2 2025</c:v>
                </c:pt>
              </c:strCache>
            </c:strRef>
          </c:cat>
          <c:val>
            <c:numRef>
              <c:f>'Problem statement'!$H$107:$H$111</c:f>
              <c:numCache>
                <c:formatCode>General</c:formatCode>
                <c:ptCount val="4"/>
                <c:pt idx="0">
                  <c:v>5.2521739130434781</c:v>
                </c:pt>
                <c:pt idx="1">
                  <c:v>5.5524475524475525</c:v>
                </c:pt>
                <c:pt idx="2">
                  <c:v>5.5714285714285712</c:v>
                </c:pt>
                <c:pt idx="3">
                  <c:v>5.569230769230769</c:v>
                </c:pt>
              </c:numCache>
            </c:numRef>
          </c:val>
          <c:smooth val="0"/>
          <c:extLst>
            <c:ext xmlns:c16="http://schemas.microsoft.com/office/drawing/2014/chart" uri="{C3380CC4-5D6E-409C-BE32-E72D297353CC}">
              <c16:uniqueId val="{00000000-1AE6-435B-A0C9-78EDD180F6BF}"/>
            </c:ext>
          </c:extLst>
        </c:ser>
        <c:dLbls>
          <c:showLegendKey val="0"/>
          <c:showVal val="0"/>
          <c:showCatName val="0"/>
          <c:showSerName val="0"/>
          <c:showPercent val="0"/>
          <c:showBubbleSize val="0"/>
        </c:dLbls>
        <c:smooth val="0"/>
        <c:axId val="1405379919"/>
        <c:axId val="1405405359"/>
      </c:lineChart>
      <c:catAx>
        <c:axId val="1405379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405359"/>
        <c:crosses val="autoZero"/>
        <c:auto val="1"/>
        <c:lblAlgn val="ctr"/>
        <c:lblOffset val="100"/>
        <c:noMultiLvlLbl val="0"/>
      </c:catAx>
      <c:valAx>
        <c:axId val="140540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3799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GPA Trend over Semester</a:t>
            </a:r>
          </a:p>
          <a:p>
            <a:pPr defTabSz="914400">
              <a:defRPr/>
            </a:pPr>
            <a:endParaRPr lang="en-IN"/>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IN"/>
        </a:p>
      </c:txPr>
    </c:title>
    <c:autoTitleDeleted val="0"/>
    <c:plotArea>
      <c:layout/>
      <c:lineChart>
        <c:grouping val="standard"/>
        <c:varyColors val="0"/>
        <c:ser>
          <c:idx val="0"/>
          <c:order val="0"/>
          <c:tx>
            <c:strRef>
              <c:f>Problem4!$B$12</c:f>
              <c:strCache>
                <c:ptCount val="1"/>
                <c:pt idx="0">
                  <c:v>Total Enrollments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Problem4!$A$13:$A$16</c:f>
              <c:strCache>
                <c:ptCount val="4"/>
                <c:pt idx="0">
                  <c:v>Sem 2 2024</c:v>
                </c:pt>
                <c:pt idx="1">
                  <c:v>Sem 2 2025</c:v>
                </c:pt>
                <c:pt idx="2">
                  <c:v>Sem 1 2025</c:v>
                </c:pt>
                <c:pt idx="3">
                  <c:v>Sem 1 2024</c:v>
                </c:pt>
              </c:strCache>
            </c:strRef>
          </c:cat>
          <c:val>
            <c:numRef>
              <c:f>Problem4!$B$13:$B$16</c:f>
              <c:numCache>
                <c:formatCode>General</c:formatCode>
                <c:ptCount val="4"/>
                <c:pt idx="0">
                  <c:v>112</c:v>
                </c:pt>
                <c:pt idx="1">
                  <c:v>130</c:v>
                </c:pt>
                <c:pt idx="2">
                  <c:v>143</c:v>
                </c:pt>
                <c:pt idx="3">
                  <c:v>115</c:v>
                </c:pt>
              </c:numCache>
            </c:numRef>
          </c:val>
          <c:smooth val="0"/>
          <c:extLst>
            <c:ext xmlns:c16="http://schemas.microsoft.com/office/drawing/2014/chart" uri="{C3380CC4-5D6E-409C-BE32-E72D297353CC}">
              <c16:uniqueId val="{00000000-F8EC-4D43-B233-B18506200D6B}"/>
            </c:ext>
          </c:extLst>
        </c:ser>
        <c:ser>
          <c:idx val="1"/>
          <c:order val="1"/>
          <c:tx>
            <c:strRef>
              <c:f>Problem4!$C$12</c:f>
              <c:strCache>
                <c:ptCount val="1"/>
                <c:pt idx="0">
                  <c:v>Average GPA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Problem4!$A$13:$A$16</c:f>
              <c:strCache>
                <c:ptCount val="4"/>
                <c:pt idx="0">
                  <c:v>Sem 2 2024</c:v>
                </c:pt>
                <c:pt idx="1">
                  <c:v>Sem 2 2025</c:v>
                </c:pt>
                <c:pt idx="2">
                  <c:v>Sem 1 2025</c:v>
                </c:pt>
                <c:pt idx="3">
                  <c:v>Sem 1 2024</c:v>
                </c:pt>
              </c:strCache>
            </c:strRef>
          </c:cat>
          <c:val>
            <c:numRef>
              <c:f>Problem4!$C$13:$C$16</c:f>
              <c:numCache>
                <c:formatCode>General</c:formatCode>
                <c:ptCount val="4"/>
                <c:pt idx="0">
                  <c:v>5.5714285714285703</c:v>
                </c:pt>
                <c:pt idx="1">
                  <c:v>5.5692307692307699</c:v>
                </c:pt>
                <c:pt idx="2">
                  <c:v>5.5524475524475498</c:v>
                </c:pt>
                <c:pt idx="3">
                  <c:v>5.2521739130434799</c:v>
                </c:pt>
              </c:numCache>
            </c:numRef>
          </c:val>
          <c:smooth val="0"/>
          <c:extLst>
            <c:ext xmlns:c16="http://schemas.microsoft.com/office/drawing/2014/chart" uri="{C3380CC4-5D6E-409C-BE32-E72D297353CC}">
              <c16:uniqueId val="{00000001-F8EC-4D43-B233-B18506200D6B}"/>
            </c:ext>
          </c:extLst>
        </c:ser>
        <c:dLbls>
          <c:showLegendKey val="0"/>
          <c:showVal val="0"/>
          <c:showCatName val="0"/>
          <c:showSerName val="0"/>
          <c:showPercent val="0"/>
          <c:showBubbleSize val="0"/>
        </c:dLbls>
        <c:marker val="1"/>
        <c:smooth val="0"/>
        <c:axId val="906117405"/>
        <c:axId val="575933400"/>
      </c:lineChart>
      <c:catAx>
        <c:axId val="90611740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75933400"/>
        <c:crosses val="autoZero"/>
        <c:auto val="1"/>
        <c:lblAlgn val="ctr"/>
        <c:lblOffset val="100"/>
        <c:noMultiLvlLbl val="0"/>
      </c:catAx>
      <c:valAx>
        <c:axId val="57593340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906117405"/>
        <c:crosses val="autoZero"/>
        <c:crossBetween val="between"/>
      </c:valAx>
      <c:spPr>
        <a:noFill/>
        <a:ln>
          <a:noFill/>
        </a:ln>
        <a:effectLst/>
      </c:spPr>
    </c:plotArea>
    <c:legend>
      <c:legendPos val="b"/>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abd48fe-a340-4db5-9d93-be62ca97b280}"/>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[Student_Data_Analysis_using_excel.xlsx]Problem5!PivotTable8</c:name>
    <c:fmtId val="0"/>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s>
    <c:plotArea>
      <c:layout/>
      <c:barChart>
        <c:barDir val="col"/>
        <c:grouping val="clustered"/>
        <c:varyColors val="0"/>
        <c:ser>
          <c:idx val="0"/>
          <c:order val="0"/>
          <c:tx>
            <c:strRef>
              <c:f>Problem5!$C$21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6C3-4CE6-ABF9-66CA3ED3F8F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6C3-4CE6-ABF9-66CA3ED3F8FE}"/>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5-C6C3-4CE6-ABF9-66CA3ED3F8FE}"/>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7-C6C3-4CE6-ABF9-66CA3ED3F8FE}"/>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9-C6C3-4CE6-ABF9-66CA3ED3F8FE}"/>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B-C6C3-4CE6-ABF9-66CA3ED3F8FE}"/>
              </c:ext>
            </c:extLst>
          </c:dPt>
          <c:cat>
            <c:multiLvlStrRef>
              <c:f>Problem5!$A$22:$B$37</c:f>
              <c:multiLvlStrCache>
                <c:ptCount val="10"/>
                <c:lvl>
                  <c:pt idx="0">
                    <c:v>F</c:v>
                  </c:pt>
                  <c:pt idx="1">
                    <c:v>M</c:v>
                  </c:pt>
                  <c:pt idx="2">
                    <c:v>F</c:v>
                  </c:pt>
                  <c:pt idx="3">
                    <c:v>M</c:v>
                  </c:pt>
                  <c:pt idx="4">
                    <c:v>F</c:v>
                  </c:pt>
                  <c:pt idx="5">
                    <c:v>M</c:v>
                  </c:pt>
                  <c:pt idx="6">
                    <c:v>F</c:v>
                  </c:pt>
                  <c:pt idx="7">
                    <c:v>M</c:v>
                  </c:pt>
                  <c:pt idx="8">
                    <c:v>F</c:v>
                  </c:pt>
                  <c:pt idx="9">
                    <c:v>M</c:v>
                  </c:pt>
                </c:lvl>
                <c:lvl>
                  <c:pt idx="0">
                    <c:v>0</c:v>
                  </c:pt>
                  <c:pt idx="2">
                    <c:v>4</c:v>
                  </c:pt>
                  <c:pt idx="4">
                    <c:v>6</c:v>
                  </c:pt>
                  <c:pt idx="6">
                    <c:v>8</c:v>
                  </c:pt>
                  <c:pt idx="8">
                    <c:v>10</c:v>
                  </c:pt>
                </c:lvl>
              </c:multiLvlStrCache>
            </c:multiLvlStrRef>
          </c:cat>
          <c:val>
            <c:numRef>
              <c:f>Problem5!$C$22:$C$37</c:f>
              <c:numCache>
                <c:formatCode>General</c:formatCode>
                <c:ptCount val="10"/>
                <c:pt idx="0">
                  <c:v>47</c:v>
                </c:pt>
                <c:pt idx="1">
                  <c:v>49</c:v>
                </c:pt>
                <c:pt idx="2">
                  <c:v>40</c:v>
                </c:pt>
                <c:pt idx="3">
                  <c:v>73</c:v>
                </c:pt>
                <c:pt idx="4">
                  <c:v>37</c:v>
                </c:pt>
                <c:pt idx="5">
                  <c:v>68</c:v>
                </c:pt>
                <c:pt idx="6">
                  <c:v>43</c:v>
                </c:pt>
                <c:pt idx="7">
                  <c:v>55</c:v>
                </c:pt>
                <c:pt idx="8">
                  <c:v>31</c:v>
                </c:pt>
                <c:pt idx="9">
                  <c:v>57</c:v>
                </c:pt>
              </c:numCache>
            </c:numRef>
          </c:val>
          <c:extLst>
            <c:ext xmlns:c16="http://schemas.microsoft.com/office/drawing/2014/chart" uri="{C3380CC4-5D6E-409C-BE32-E72D297353CC}">
              <c16:uniqueId val="{0000000C-C6C3-4CE6-ABF9-66CA3ED3F8FE}"/>
            </c:ext>
          </c:extLst>
        </c:ser>
        <c:dLbls>
          <c:showLegendKey val="0"/>
          <c:showVal val="0"/>
          <c:showCatName val="0"/>
          <c:showSerName val="0"/>
          <c:showPercent val="0"/>
          <c:showBubbleSize val="0"/>
        </c:dLbls>
        <c:gapWidth val="246"/>
        <c:overlap val="-28"/>
        <c:axId val="907477091"/>
        <c:axId val="454583333"/>
      </c:barChart>
      <c:catAx>
        <c:axId val="90747709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54583333"/>
        <c:crosses val="autoZero"/>
        <c:auto val="1"/>
        <c:lblAlgn val="ctr"/>
        <c:lblOffset val="100"/>
        <c:noMultiLvlLbl val="0"/>
      </c:catAx>
      <c:valAx>
        <c:axId val="45458333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907477091"/>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f1d1c7e4-7bcd-446b-9a32-aa10ecea8f20}"/>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6.xml"/><Relationship Id="rId7" Type="http://schemas.openxmlformats.org/officeDocument/2006/relationships/image" Target="../media/image4.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609600</xdr:colOff>
      <xdr:row>85</xdr:row>
      <xdr:rowOff>22860</xdr:rowOff>
    </xdr:from>
    <xdr:to>
      <xdr:col>10</xdr:col>
      <xdr:colOff>510540</xdr:colOff>
      <xdr:row>100</xdr:row>
      <xdr:rowOff>22860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541020</xdr:colOff>
      <xdr:row>85</xdr:row>
      <xdr:rowOff>15240</xdr:rowOff>
    </xdr:from>
    <xdr:to>
      <xdr:col>17</xdr:col>
      <xdr:colOff>45720</xdr:colOff>
      <xdr:row>100</xdr:row>
      <xdr:rowOff>15240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198120</xdr:colOff>
      <xdr:row>111</xdr:row>
      <xdr:rowOff>102870</xdr:rowOff>
    </xdr:from>
    <xdr:to>
      <xdr:col>12</xdr:col>
      <xdr:colOff>449580</xdr:colOff>
      <xdr:row>126</xdr:row>
      <xdr:rowOff>102870</xdr:rowOff>
    </xdr:to>
    <xdr:graphicFrame macro="">
      <xdr:nvGraphicFramePr>
        <xdr:cNvPr id="5" name="Chart 4">
          <a:extLst>
            <a:ext uri="{FF2B5EF4-FFF2-40B4-BE49-F238E27FC236}">
              <a16:creationId xmlns:a16="http://schemas.microsoft.com/office/drawing/2014/main" id="{F67F4E6B-2513-D929-62AA-4FB6DD91C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160020</xdr:colOff>
      <xdr:row>11</xdr:row>
      <xdr:rowOff>0</xdr:rowOff>
    </xdr:from>
    <xdr:to>
      <xdr:col>7</xdr:col>
      <xdr:colOff>579120</xdr:colOff>
      <xdr:row>28</xdr:row>
      <xdr:rowOff>45720</xdr:rowOff>
    </xdr:to>
    <xdr:sp macro="" textlink="">
      <xdr:nvSpPr>
        <xdr:cNvPr id="2" name="Rectangle: Rounded Corners 1">
          <a:extLst>
            <a:ext uri="{FF2B5EF4-FFF2-40B4-BE49-F238E27FC236}">
              <a16:creationId xmlns:a16="http://schemas.microsoft.com/office/drawing/2014/main" id="{8A04A6AB-A9F6-BBA6-6B08-43B98A8BE28C}"/>
            </a:ext>
          </a:extLst>
        </xdr:cNvPr>
        <xdr:cNvSpPr/>
      </xdr:nvSpPr>
      <xdr:spPr>
        <a:xfrm>
          <a:off x="160020" y="2011680"/>
          <a:ext cx="4686300" cy="3154680"/>
        </a:xfrm>
        <a:prstGeom prst="roundRect">
          <a:avLst>
            <a:gd name="adj" fmla="val 922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320040</xdr:colOff>
      <xdr:row>11</xdr:row>
      <xdr:rowOff>0</xdr:rowOff>
    </xdr:from>
    <xdr:to>
      <xdr:col>23</xdr:col>
      <xdr:colOff>22860</xdr:colOff>
      <xdr:row>27</xdr:row>
      <xdr:rowOff>129540</xdr:rowOff>
    </xdr:to>
    <xdr:sp macro="" textlink="">
      <xdr:nvSpPr>
        <xdr:cNvPr id="4" name="Rectangle: Rounded Corners 3">
          <a:extLst>
            <a:ext uri="{FF2B5EF4-FFF2-40B4-BE49-F238E27FC236}">
              <a16:creationId xmlns:a16="http://schemas.microsoft.com/office/drawing/2014/main" id="{92C9CF93-F022-47AD-9DAA-D28367682FB1}"/>
            </a:ext>
          </a:extLst>
        </xdr:cNvPr>
        <xdr:cNvSpPr/>
      </xdr:nvSpPr>
      <xdr:spPr>
        <a:xfrm>
          <a:off x="9464040" y="2011680"/>
          <a:ext cx="4579620" cy="3055620"/>
        </a:xfrm>
        <a:prstGeom prst="roundRect">
          <a:avLst>
            <a:gd name="adj" fmla="val 922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76200</xdr:colOff>
      <xdr:row>11</xdr:row>
      <xdr:rowOff>7620</xdr:rowOff>
    </xdr:from>
    <xdr:to>
      <xdr:col>15</xdr:col>
      <xdr:colOff>182880</xdr:colOff>
      <xdr:row>28</xdr:row>
      <xdr:rowOff>45720</xdr:rowOff>
    </xdr:to>
    <xdr:sp macro="" textlink="">
      <xdr:nvSpPr>
        <xdr:cNvPr id="10" name="Rectangle: Rounded Corners 9">
          <a:extLst>
            <a:ext uri="{FF2B5EF4-FFF2-40B4-BE49-F238E27FC236}">
              <a16:creationId xmlns:a16="http://schemas.microsoft.com/office/drawing/2014/main" id="{6D9BE0D0-3178-4066-B9C3-4079961116CA}"/>
            </a:ext>
          </a:extLst>
        </xdr:cNvPr>
        <xdr:cNvSpPr/>
      </xdr:nvSpPr>
      <xdr:spPr>
        <a:xfrm>
          <a:off x="4953000" y="2019300"/>
          <a:ext cx="4373880" cy="3147060"/>
        </a:xfrm>
        <a:prstGeom prst="roundRect">
          <a:avLst>
            <a:gd name="adj" fmla="val 922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220980</xdr:colOff>
      <xdr:row>7</xdr:row>
      <xdr:rowOff>22860</xdr:rowOff>
    </xdr:from>
    <xdr:to>
      <xdr:col>23</xdr:col>
      <xdr:colOff>76200</xdr:colOff>
      <xdr:row>10</xdr:row>
      <xdr:rowOff>114300</xdr:rowOff>
    </xdr:to>
    <mc:AlternateContent xmlns:mc="http://schemas.openxmlformats.org/markup-compatibility/2006" xmlns:a14="http://schemas.microsoft.com/office/drawing/2010/main">
      <mc:Choice Requires="a14">
        <xdr:graphicFrame macro="">
          <xdr:nvGraphicFramePr>
            <xdr:cNvPr id="8" name="Department Name">
              <a:extLst>
                <a:ext uri="{FF2B5EF4-FFF2-40B4-BE49-F238E27FC236}">
                  <a16:creationId xmlns:a16="http://schemas.microsoft.com/office/drawing/2014/main" id="{4B550778-8884-4CF4-9265-C5554863F83B}"/>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9364980" y="1303020"/>
              <a:ext cx="4732020" cy="640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205740</xdr:colOff>
      <xdr:row>0</xdr:row>
      <xdr:rowOff>137160</xdr:rowOff>
    </xdr:from>
    <xdr:to>
      <xdr:col>23</xdr:col>
      <xdr:colOff>83820</xdr:colOff>
      <xdr:row>6</xdr:row>
      <xdr:rowOff>68580</xdr:rowOff>
    </xdr:to>
    <xdr:sp macro="" textlink="">
      <xdr:nvSpPr>
        <xdr:cNvPr id="15" name="Rectangle: Rounded Corners 14">
          <a:extLst>
            <a:ext uri="{FF2B5EF4-FFF2-40B4-BE49-F238E27FC236}">
              <a16:creationId xmlns:a16="http://schemas.microsoft.com/office/drawing/2014/main" id="{1DC3D835-2306-44C1-92D4-12DE2ED3FA39}"/>
            </a:ext>
          </a:extLst>
        </xdr:cNvPr>
        <xdr:cNvSpPr/>
      </xdr:nvSpPr>
      <xdr:spPr>
        <a:xfrm>
          <a:off x="11788140" y="137160"/>
          <a:ext cx="2316480" cy="1028700"/>
        </a:xfrm>
        <a:prstGeom prst="roundRect">
          <a:avLst>
            <a:gd name="adj" fmla="val 20331"/>
          </a:avLst>
        </a:prstGeom>
        <a:solidFill>
          <a:srgbClr val="FACDC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Average GPA</a:t>
          </a:r>
        </a:p>
      </xdr:txBody>
    </xdr:sp>
    <xdr:clientData/>
  </xdr:twoCellAnchor>
  <xdr:twoCellAnchor>
    <xdr:from>
      <xdr:col>15</xdr:col>
      <xdr:colOff>274320</xdr:colOff>
      <xdr:row>0</xdr:row>
      <xdr:rowOff>137160</xdr:rowOff>
    </xdr:from>
    <xdr:to>
      <xdr:col>19</xdr:col>
      <xdr:colOff>99060</xdr:colOff>
      <xdr:row>6</xdr:row>
      <xdr:rowOff>99060</xdr:rowOff>
    </xdr:to>
    <xdr:sp macro="" textlink="">
      <xdr:nvSpPr>
        <xdr:cNvPr id="16" name="Rectangle: Rounded Corners 15">
          <a:extLst>
            <a:ext uri="{FF2B5EF4-FFF2-40B4-BE49-F238E27FC236}">
              <a16:creationId xmlns:a16="http://schemas.microsoft.com/office/drawing/2014/main" id="{6905481A-65C0-4A14-BF02-E6188CE48C2A}"/>
            </a:ext>
          </a:extLst>
        </xdr:cNvPr>
        <xdr:cNvSpPr/>
      </xdr:nvSpPr>
      <xdr:spPr>
        <a:xfrm>
          <a:off x="9418320" y="137160"/>
          <a:ext cx="2263140" cy="1059180"/>
        </a:xfrm>
        <a:prstGeom prst="roundRect">
          <a:avLst>
            <a:gd name="adj" fmla="val 18744"/>
          </a:avLst>
        </a:prstGeom>
        <a:solidFill>
          <a:srgbClr val="DFD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 Enrollments</a:t>
          </a:r>
        </a:p>
      </xdr:txBody>
    </xdr:sp>
    <xdr:clientData/>
  </xdr:twoCellAnchor>
  <xdr:twoCellAnchor>
    <xdr:from>
      <xdr:col>7</xdr:col>
      <xdr:colOff>419100</xdr:colOff>
      <xdr:row>0</xdr:row>
      <xdr:rowOff>144780</xdr:rowOff>
    </xdr:from>
    <xdr:to>
      <xdr:col>11</xdr:col>
      <xdr:colOff>266700</xdr:colOff>
      <xdr:row>6</xdr:row>
      <xdr:rowOff>30480</xdr:rowOff>
    </xdr:to>
    <xdr:sp macro="" textlink="">
      <xdr:nvSpPr>
        <xdr:cNvPr id="17" name="Rectangle: Rounded Corners 16">
          <a:extLst>
            <a:ext uri="{FF2B5EF4-FFF2-40B4-BE49-F238E27FC236}">
              <a16:creationId xmlns:a16="http://schemas.microsoft.com/office/drawing/2014/main" id="{BFB336CC-3F94-4685-B532-B6C509BCA6B4}"/>
            </a:ext>
          </a:extLst>
        </xdr:cNvPr>
        <xdr:cNvSpPr/>
      </xdr:nvSpPr>
      <xdr:spPr>
        <a:xfrm>
          <a:off x="4686300" y="144780"/>
          <a:ext cx="2286000" cy="982980"/>
        </a:xfrm>
        <a:prstGeom prst="roundRect">
          <a:avLst>
            <a:gd name="adj" fmla="val 23505"/>
          </a:avLst>
        </a:prstGeom>
        <a:solidFill>
          <a:srgbClr val="4CE2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 Students</a:t>
          </a:r>
        </a:p>
      </xdr:txBody>
    </xdr:sp>
    <xdr:clientData/>
  </xdr:twoCellAnchor>
  <xdr:twoCellAnchor>
    <xdr:from>
      <xdr:col>11</xdr:col>
      <xdr:colOff>365760</xdr:colOff>
      <xdr:row>0</xdr:row>
      <xdr:rowOff>144780</xdr:rowOff>
    </xdr:from>
    <xdr:to>
      <xdr:col>15</xdr:col>
      <xdr:colOff>167640</xdr:colOff>
      <xdr:row>6</xdr:row>
      <xdr:rowOff>76200</xdr:rowOff>
    </xdr:to>
    <xdr:sp macro="" textlink="">
      <xdr:nvSpPr>
        <xdr:cNvPr id="18" name="Rectangle: Rounded Corners 17">
          <a:extLst>
            <a:ext uri="{FF2B5EF4-FFF2-40B4-BE49-F238E27FC236}">
              <a16:creationId xmlns:a16="http://schemas.microsoft.com/office/drawing/2014/main" id="{0F296525-FC3A-4736-B132-FA36DB8D28C8}"/>
            </a:ext>
          </a:extLst>
        </xdr:cNvPr>
        <xdr:cNvSpPr/>
      </xdr:nvSpPr>
      <xdr:spPr>
        <a:xfrm>
          <a:off x="7071360" y="144780"/>
          <a:ext cx="2240280" cy="1028700"/>
        </a:xfrm>
        <a:prstGeom prst="roundRect">
          <a:avLst>
            <a:gd name="adj" fmla="val 24299"/>
          </a:avLst>
        </a:prstGeom>
        <a:solidFill>
          <a:srgbClr val="B4F8A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 Courses</a:t>
          </a:r>
        </a:p>
      </xdr:txBody>
    </xdr:sp>
    <xdr:clientData/>
  </xdr:twoCellAnchor>
  <xdr:twoCellAnchor>
    <xdr:from>
      <xdr:col>0</xdr:col>
      <xdr:colOff>320041</xdr:colOff>
      <xdr:row>11</xdr:row>
      <xdr:rowOff>99061</xdr:rowOff>
    </xdr:from>
    <xdr:to>
      <xdr:col>7</xdr:col>
      <xdr:colOff>175261</xdr:colOff>
      <xdr:row>27</xdr:row>
      <xdr:rowOff>129541</xdr:rowOff>
    </xdr:to>
    <xdr:graphicFrame macro="">
      <xdr:nvGraphicFramePr>
        <xdr:cNvPr id="20" name="Chart 19">
          <a:extLst>
            <a:ext uri="{FF2B5EF4-FFF2-40B4-BE49-F238E27FC236}">
              <a16:creationId xmlns:a16="http://schemas.microsoft.com/office/drawing/2014/main" id="{6E67588F-F664-44B7-9AF6-B85B81B2F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502920</xdr:colOff>
      <xdr:row>12</xdr:row>
      <xdr:rowOff>7620</xdr:rowOff>
    </xdr:from>
    <xdr:to>
      <xdr:col>14</xdr:col>
      <xdr:colOff>495300</xdr:colOff>
      <xdr:row>27</xdr:row>
      <xdr:rowOff>7620</xdr:rowOff>
    </xdr:to>
    <xdr:graphicFrame macro="">
      <xdr:nvGraphicFramePr>
        <xdr:cNvPr id="21" name="Chart 20">
          <a:extLst>
            <a:ext uri="{FF2B5EF4-FFF2-40B4-BE49-F238E27FC236}">
              <a16:creationId xmlns:a16="http://schemas.microsoft.com/office/drawing/2014/main" id="{03920C12-33EF-42F4-8799-1C14D23C3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388620</xdr:colOff>
      <xdr:row>11</xdr:row>
      <xdr:rowOff>76200</xdr:rowOff>
    </xdr:from>
    <xdr:to>
      <xdr:col>22</xdr:col>
      <xdr:colOff>403860</xdr:colOff>
      <xdr:row>27</xdr:row>
      <xdr:rowOff>99060</xdr:rowOff>
    </xdr:to>
    <xdr:graphicFrame macro="">
      <xdr:nvGraphicFramePr>
        <xdr:cNvPr id="22" name="Chart 21">
          <a:extLst>
            <a:ext uri="{FF2B5EF4-FFF2-40B4-BE49-F238E27FC236}">
              <a16:creationId xmlns:a16="http://schemas.microsoft.com/office/drawing/2014/main" id="{EFAAD6A9-E91A-4C70-9F45-22F38FFDA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182880</xdr:colOff>
      <xdr:row>7</xdr:row>
      <xdr:rowOff>0</xdr:rowOff>
    </xdr:from>
    <xdr:to>
      <xdr:col>7</xdr:col>
      <xdr:colOff>449580</xdr:colOff>
      <xdr:row>10</xdr:row>
      <xdr:rowOff>99060</xdr:rowOff>
    </xdr:to>
    <mc:AlternateContent xmlns:mc="http://schemas.openxmlformats.org/markup-compatibility/2006" xmlns:a14="http://schemas.microsoft.com/office/drawing/2010/main">
      <mc:Choice Requires="a14">
        <xdr:graphicFrame macro="">
          <xdr:nvGraphicFramePr>
            <xdr:cNvPr id="23" name="Average GPA 1">
              <a:extLst>
                <a:ext uri="{FF2B5EF4-FFF2-40B4-BE49-F238E27FC236}">
                  <a16:creationId xmlns:a16="http://schemas.microsoft.com/office/drawing/2014/main" id="{B162B660-F603-C2F5-F8FE-1CF48D04ED64}"/>
                </a:ext>
              </a:extLst>
            </xdr:cNvPr>
            <xdr:cNvGraphicFramePr/>
          </xdr:nvGraphicFramePr>
          <xdr:xfrm>
            <a:off x="0" y="0"/>
            <a:ext cx="0" cy="0"/>
          </xdr:xfrm>
          <a:graphic>
            <a:graphicData uri="http://schemas.microsoft.com/office/drawing/2010/slicer">
              <sle:slicer xmlns:sle="http://schemas.microsoft.com/office/drawing/2010/slicer" name="Average GPA 1"/>
            </a:graphicData>
          </a:graphic>
        </xdr:graphicFrame>
      </mc:Choice>
      <mc:Fallback xmlns="">
        <xdr:sp macro="" textlink="">
          <xdr:nvSpPr>
            <xdr:cNvPr id="0" name=""/>
            <xdr:cNvSpPr>
              <a:spLocks noTextEdit="1"/>
            </xdr:cNvSpPr>
          </xdr:nvSpPr>
          <xdr:spPr>
            <a:xfrm>
              <a:off x="2621280" y="1280160"/>
              <a:ext cx="209550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601980</xdr:colOff>
      <xdr:row>7</xdr:row>
      <xdr:rowOff>7621</xdr:rowOff>
    </xdr:from>
    <xdr:to>
      <xdr:col>15</xdr:col>
      <xdr:colOff>121920</xdr:colOff>
      <xdr:row>10</xdr:row>
      <xdr:rowOff>114300</xdr:rowOff>
    </xdr:to>
    <mc:AlternateContent xmlns:mc="http://schemas.openxmlformats.org/markup-compatibility/2006" xmlns:a14="http://schemas.microsoft.com/office/drawing/2010/main">
      <mc:Choice Requires="a14">
        <xdr:graphicFrame macro="">
          <xdr:nvGraphicFramePr>
            <xdr:cNvPr id="24" name="Semester">
              <a:extLst>
                <a:ext uri="{FF2B5EF4-FFF2-40B4-BE49-F238E27FC236}">
                  <a16:creationId xmlns:a16="http://schemas.microsoft.com/office/drawing/2014/main" id="{63246239-40AA-69E1-E43B-DF3D5E18ED03}"/>
                </a:ext>
              </a:extLst>
            </xdr:cNvP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mlns="">
        <xdr:sp macro="" textlink="">
          <xdr:nvSpPr>
            <xdr:cNvPr id="0" name=""/>
            <xdr:cNvSpPr>
              <a:spLocks noTextEdit="1"/>
            </xdr:cNvSpPr>
          </xdr:nvSpPr>
          <xdr:spPr>
            <a:xfrm>
              <a:off x="4869180" y="1287781"/>
              <a:ext cx="4396740" cy="655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182880</xdr:colOff>
      <xdr:row>0</xdr:row>
      <xdr:rowOff>106680</xdr:rowOff>
    </xdr:from>
    <xdr:to>
      <xdr:col>8</xdr:col>
      <xdr:colOff>144780</xdr:colOff>
      <xdr:row>6</xdr:row>
      <xdr:rowOff>45720</xdr:rowOff>
    </xdr:to>
    <xdr:sp macro="" textlink="">
      <xdr:nvSpPr>
        <xdr:cNvPr id="3" name="TextBox 2">
          <a:extLst>
            <a:ext uri="{FF2B5EF4-FFF2-40B4-BE49-F238E27FC236}">
              <a16:creationId xmlns:a16="http://schemas.microsoft.com/office/drawing/2014/main" id="{B1592FB7-FC58-DB25-C22B-9E43C7D30B0C}"/>
            </a:ext>
          </a:extLst>
        </xdr:cNvPr>
        <xdr:cNvSpPr txBox="1"/>
      </xdr:nvSpPr>
      <xdr:spPr>
        <a:xfrm>
          <a:off x="1402080" y="106680"/>
          <a:ext cx="3619500" cy="1036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002060"/>
              </a:solidFill>
            </a:rPr>
            <a:t>Student Performance</a:t>
          </a:r>
          <a:r>
            <a:rPr lang="en-IN" sz="2400" b="1" baseline="0">
              <a:solidFill>
                <a:srgbClr val="002060"/>
              </a:solidFill>
            </a:rPr>
            <a:t> Analysis</a:t>
          </a:r>
          <a:endParaRPr lang="en-IN" sz="2400" b="1">
            <a:solidFill>
              <a:srgbClr val="002060"/>
            </a:solidFill>
          </a:endParaRPr>
        </a:p>
      </xdr:txBody>
    </xdr:sp>
    <xdr:clientData/>
  </xdr:twoCellAnchor>
  <xdr:twoCellAnchor>
    <xdr:from>
      <xdr:col>0</xdr:col>
      <xdr:colOff>144780</xdr:colOff>
      <xdr:row>6</xdr:row>
      <xdr:rowOff>152400</xdr:rowOff>
    </xdr:from>
    <xdr:to>
      <xdr:col>4</xdr:col>
      <xdr:colOff>91440</xdr:colOff>
      <xdr:row>10</xdr:row>
      <xdr:rowOff>99060</xdr:rowOff>
    </xdr:to>
    <xdr:sp macro="" textlink="">
      <xdr:nvSpPr>
        <xdr:cNvPr id="5" name="Rectangle: Rounded Corners 4">
          <a:extLst>
            <a:ext uri="{FF2B5EF4-FFF2-40B4-BE49-F238E27FC236}">
              <a16:creationId xmlns:a16="http://schemas.microsoft.com/office/drawing/2014/main" id="{66549594-42CC-4515-911C-805B7CEE8A85}"/>
            </a:ext>
          </a:extLst>
        </xdr:cNvPr>
        <xdr:cNvSpPr/>
      </xdr:nvSpPr>
      <xdr:spPr>
        <a:xfrm>
          <a:off x="144780" y="1249680"/>
          <a:ext cx="2385060" cy="678180"/>
        </a:xfrm>
        <a:prstGeom prst="roundRect">
          <a:avLst>
            <a:gd name="adj" fmla="val 9220"/>
          </a:avLst>
        </a:prstGeom>
        <a:solidFill>
          <a:srgbClr val="F9D4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a:t>
          </a:r>
          <a:r>
            <a:rPr lang="en-IN" sz="1400" b="1"/>
            <a:t> </a:t>
          </a:r>
          <a:r>
            <a:rPr lang="en-IN" sz="1400" b="1">
              <a:solidFill>
                <a:schemeClr val="tx1"/>
              </a:solidFill>
            </a:rPr>
            <a:t>Department</a:t>
          </a:r>
        </a:p>
        <a:p>
          <a:pPr algn="ctr"/>
          <a:r>
            <a:rPr lang="en-IN" sz="1400" b="1">
              <a:solidFill>
                <a:schemeClr val="tx1"/>
              </a:solidFill>
            </a:rPr>
            <a:t>5</a:t>
          </a:r>
        </a:p>
      </xdr:txBody>
    </xdr:sp>
    <xdr:clientData/>
  </xdr:twoCellAnchor>
  <xdr:twoCellAnchor>
    <xdr:from>
      <xdr:col>8</xdr:col>
      <xdr:colOff>457200</xdr:colOff>
      <xdr:row>3</xdr:row>
      <xdr:rowOff>15240</xdr:rowOff>
    </xdr:from>
    <xdr:to>
      <xdr:col>10</xdr:col>
      <xdr:colOff>114300</xdr:colOff>
      <xdr:row>5</xdr:row>
      <xdr:rowOff>76200</xdr:rowOff>
    </xdr:to>
    <xdr:sp macro="" textlink="'Problem statement'!C89">
      <xdr:nvSpPr>
        <xdr:cNvPr id="6" name="TextBox 5">
          <a:extLst>
            <a:ext uri="{FF2B5EF4-FFF2-40B4-BE49-F238E27FC236}">
              <a16:creationId xmlns:a16="http://schemas.microsoft.com/office/drawing/2014/main" id="{56D2EF3A-010A-58F4-F393-DF917176C0F2}"/>
            </a:ext>
          </a:extLst>
        </xdr:cNvPr>
        <xdr:cNvSpPr txBox="1"/>
      </xdr:nvSpPr>
      <xdr:spPr>
        <a:xfrm>
          <a:off x="5334000" y="563880"/>
          <a:ext cx="8763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6A856B7-D87A-4794-8C1E-26D9264B4155}" type="TxLink">
            <a:rPr lang="en-US" sz="1400" b="1" i="0" u="none" strike="noStrike">
              <a:solidFill>
                <a:srgbClr val="000000"/>
              </a:solidFill>
              <a:latin typeface="Calibri"/>
              <a:cs typeface="Calibri"/>
            </a:rPr>
            <a:pPr algn="ctr"/>
            <a:t>100</a:t>
          </a:fld>
          <a:endParaRPr lang="en-IN" sz="1400" b="1"/>
        </a:p>
      </xdr:txBody>
    </xdr:sp>
    <xdr:clientData/>
  </xdr:twoCellAnchor>
  <xdr:twoCellAnchor>
    <xdr:from>
      <xdr:col>12</xdr:col>
      <xdr:colOff>358140</xdr:colOff>
      <xdr:row>3</xdr:row>
      <xdr:rowOff>45720</xdr:rowOff>
    </xdr:from>
    <xdr:to>
      <xdr:col>14</xdr:col>
      <xdr:colOff>15240</xdr:colOff>
      <xdr:row>5</xdr:row>
      <xdr:rowOff>106680</xdr:rowOff>
    </xdr:to>
    <xdr:sp macro="" textlink="'Problem statement'!C91">
      <xdr:nvSpPr>
        <xdr:cNvPr id="7" name="TextBox 6">
          <a:extLst>
            <a:ext uri="{FF2B5EF4-FFF2-40B4-BE49-F238E27FC236}">
              <a16:creationId xmlns:a16="http://schemas.microsoft.com/office/drawing/2014/main" id="{21AE9794-7AEC-4B11-9F1B-D3D04E805B0A}"/>
            </a:ext>
          </a:extLst>
        </xdr:cNvPr>
        <xdr:cNvSpPr txBox="1"/>
      </xdr:nvSpPr>
      <xdr:spPr>
        <a:xfrm>
          <a:off x="7673340" y="594360"/>
          <a:ext cx="8763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32DC8B-1815-473E-9373-C3E63B70886A}" type="TxLink">
            <a:rPr lang="en-US" sz="1400" b="1" i="0" u="none" strike="noStrike">
              <a:solidFill>
                <a:srgbClr val="000000"/>
              </a:solidFill>
              <a:latin typeface="Calibri"/>
              <a:cs typeface="Calibri"/>
            </a:rPr>
            <a:pPr algn="ctr"/>
            <a:t>10</a:t>
          </a:fld>
          <a:endParaRPr lang="en-IN" sz="1800" b="1"/>
        </a:p>
      </xdr:txBody>
    </xdr:sp>
    <xdr:clientData/>
  </xdr:twoCellAnchor>
  <xdr:twoCellAnchor>
    <xdr:from>
      <xdr:col>16</xdr:col>
      <xdr:colOff>327660</xdr:colOff>
      <xdr:row>3</xdr:row>
      <xdr:rowOff>7620</xdr:rowOff>
    </xdr:from>
    <xdr:to>
      <xdr:col>17</xdr:col>
      <xdr:colOff>594360</xdr:colOff>
      <xdr:row>5</xdr:row>
      <xdr:rowOff>68580</xdr:rowOff>
    </xdr:to>
    <xdr:sp macro="" textlink="'Problem statement'!C93">
      <xdr:nvSpPr>
        <xdr:cNvPr id="12" name="TextBox 11">
          <a:extLst>
            <a:ext uri="{FF2B5EF4-FFF2-40B4-BE49-F238E27FC236}">
              <a16:creationId xmlns:a16="http://schemas.microsoft.com/office/drawing/2014/main" id="{9E400A3F-8359-4956-B5E6-135F3FF68838}"/>
            </a:ext>
          </a:extLst>
        </xdr:cNvPr>
        <xdr:cNvSpPr txBox="1"/>
      </xdr:nvSpPr>
      <xdr:spPr>
        <a:xfrm>
          <a:off x="10081260" y="556260"/>
          <a:ext cx="8763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DBAC7DB-9EDB-4F41-8D0D-6B972C3D3FA1}" type="TxLink">
            <a:rPr lang="en-US" sz="1400" b="1" i="0" u="none" strike="noStrike">
              <a:solidFill>
                <a:srgbClr val="000000"/>
              </a:solidFill>
              <a:latin typeface="Calibri"/>
              <a:cs typeface="Calibri"/>
            </a:rPr>
            <a:pPr algn="ctr"/>
            <a:t>500</a:t>
          </a:fld>
          <a:endParaRPr lang="en-IN" sz="1800" b="1"/>
        </a:p>
      </xdr:txBody>
    </xdr:sp>
    <xdr:clientData/>
  </xdr:twoCellAnchor>
  <xdr:twoCellAnchor>
    <xdr:from>
      <xdr:col>20</xdr:col>
      <xdr:colOff>205740</xdr:colOff>
      <xdr:row>3</xdr:row>
      <xdr:rowOff>15240</xdr:rowOff>
    </xdr:from>
    <xdr:to>
      <xdr:col>21</xdr:col>
      <xdr:colOff>472440</xdr:colOff>
      <xdr:row>5</xdr:row>
      <xdr:rowOff>76200</xdr:rowOff>
    </xdr:to>
    <xdr:sp macro="" textlink="'Problem statement'!C95">
      <xdr:nvSpPr>
        <xdr:cNvPr id="13" name="TextBox 12">
          <a:extLst>
            <a:ext uri="{FF2B5EF4-FFF2-40B4-BE49-F238E27FC236}">
              <a16:creationId xmlns:a16="http://schemas.microsoft.com/office/drawing/2014/main" id="{997DD6E5-6655-4763-A7D4-F0B7B39C1435}"/>
            </a:ext>
          </a:extLst>
        </xdr:cNvPr>
        <xdr:cNvSpPr txBox="1"/>
      </xdr:nvSpPr>
      <xdr:spPr>
        <a:xfrm>
          <a:off x="12397740" y="563880"/>
          <a:ext cx="8763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391810-6279-470D-ABC6-DF8ADC769224}" type="TxLink">
            <a:rPr lang="en-US" sz="1400" b="1" i="0" u="none" strike="noStrike">
              <a:solidFill>
                <a:srgbClr val="000000"/>
              </a:solidFill>
              <a:latin typeface="Calibri"/>
              <a:cs typeface="Calibri"/>
            </a:rPr>
            <a:pPr algn="ctr"/>
            <a:t>5.492</a:t>
          </a:fld>
          <a:endParaRPr lang="en-IN" sz="1800" b="1"/>
        </a:p>
      </xdr:txBody>
    </xdr:sp>
    <xdr:clientData/>
  </xdr:twoCellAnchor>
  <xdr:twoCellAnchor editAs="oneCell">
    <xdr:from>
      <xdr:col>0</xdr:col>
      <xdr:colOff>175260</xdr:colOff>
      <xdr:row>0</xdr:row>
      <xdr:rowOff>106680</xdr:rowOff>
    </xdr:from>
    <xdr:to>
      <xdr:col>1</xdr:col>
      <xdr:colOff>571500</xdr:colOff>
      <xdr:row>5</xdr:row>
      <xdr:rowOff>106680</xdr:rowOff>
    </xdr:to>
    <xdr:pic>
      <xdr:nvPicPr>
        <xdr:cNvPr id="25" name="Graphic 24" descr="Classroom">
          <a:extLst>
            <a:ext uri="{FF2B5EF4-FFF2-40B4-BE49-F238E27FC236}">
              <a16:creationId xmlns:a16="http://schemas.microsoft.com/office/drawing/2014/main" id="{3AB8DACD-2CB6-132D-6B68-6BB307EF990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5260" y="106680"/>
          <a:ext cx="1005840" cy="914400"/>
        </a:xfrm>
        <a:prstGeom prst="rect">
          <a:avLst/>
        </a:prstGeom>
      </xdr:spPr>
    </xdr:pic>
    <xdr:clientData/>
  </xdr:twoCellAnchor>
  <xdr:twoCellAnchor editAs="oneCell">
    <xdr:from>
      <xdr:col>9</xdr:col>
      <xdr:colOff>599580</xdr:colOff>
      <xdr:row>1</xdr:row>
      <xdr:rowOff>142380</xdr:rowOff>
    </xdr:from>
    <xdr:to>
      <xdr:col>11</xdr:col>
      <xdr:colOff>294780</xdr:colOff>
      <xdr:row>6</xdr:row>
      <xdr:rowOff>142380</xdr:rowOff>
    </xdr:to>
    <xdr:pic>
      <xdr:nvPicPr>
        <xdr:cNvPr id="27" name="Graphic 26" descr="School girl">
          <a:extLst>
            <a:ext uri="{FF2B5EF4-FFF2-40B4-BE49-F238E27FC236}">
              <a16:creationId xmlns:a16="http://schemas.microsoft.com/office/drawing/2014/main" id="{9CCBA0B8-18AD-9D06-55F5-FEF9132B04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085980" y="325260"/>
          <a:ext cx="914400" cy="914400"/>
        </a:xfrm>
        <a:prstGeom prst="rect">
          <a:avLst/>
        </a:prstGeom>
      </xdr:spPr>
    </xdr:pic>
    <xdr:clientData/>
  </xdr:twoCellAnchor>
  <xdr:twoCellAnchor editAs="oneCell">
    <xdr:from>
      <xdr:col>17</xdr:col>
      <xdr:colOff>429540</xdr:colOff>
      <xdr:row>2</xdr:row>
      <xdr:rowOff>25680</xdr:rowOff>
    </xdr:from>
    <xdr:to>
      <xdr:col>19</xdr:col>
      <xdr:colOff>124740</xdr:colOff>
      <xdr:row>7</xdr:row>
      <xdr:rowOff>25680</xdr:rowOff>
    </xdr:to>
    <xdr:pic>
      <xdr:nvPicPr>
        <xdr:cNvPr id="29" name="Graphic 28" descr="School boy">
          <a:extLst>
            <a:ext uri="{FF2B5EF4-FFF2-40B4-BE49-F238E27FC236}">
              <a16:creationId xmlns:a16="http://schemas.microsoft.com/office/drawing/2014/main" id="{1D49756C-A3C5-B3F9-CC4D-7A7900B5778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792740" y="391440"/>
          <a:ext cx="914400" cy="914400"/>
        </a:xfrm>
        <a:prstGeom prst="rect">
          <a:avLst/>
        </a:prstGeom>
      </xdr:spPr>
    </xdr:pic>
    <xdr:clientData/>
  </xdr:twoCellAnchor>
  <xdr:twoCellAnchor editAs="oneCell">
    <xdr:from>
      <xdr:col>21</xdr:col>
      <xdr:colOff>419520</xdr:colOff>
      <xdr:row>2</xdr:row>
      <xdr:rowOff>99480</xdr:rowOff>
    </xdr:from>
    <xdr:to>
      <xdr:col>23</xdr:col>
      <xdr:colOff>114720</xdr:colOff>
      <xdr:row>7</xdr:row>
      <xdr:rowOff>99480</xdr:rowOff>
    </xdr:to>
    <xdr:pic>
      <xdr:nvPicPr>
        <xdr:cNvPr id="31" name="Graphic 30" descr="Graduation cap">
          <a:extLst>
            <a:ext uri="{FF2B5EF4-FFF2-40B4-BE49-F238E27FC236}">
              <a16:creationId xmlns:a16="http://schemas.microsoft.com/office/drawing/2014/main" id="{299B28A8-886D-A3B7-9CCF-0F27BD8BC0B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221120" y="465240"/>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878840</xdr:colOff>
      <xdr:row>11</xdr:row>
      <xdr:rowOff>15240</xdr:rowOff>
    </xdr:from>
    <xdr:to>
      <xdr:col>11</xdr:col>
      <xdr:colOff>553720</xdr:colOff>
      <xdr:row>27</xdr:row>
      <xdr:rowOff>15240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162560</xdr:colOff>
      <xdr:row>21</xdr:row>
      <xdr:rowOff>137160</xdr:rowOff>
    </xdr:from>
    <xdr:to>
      <xdr:col>11</xdr:col>
      <xdr:colOff>111760</xdr:colOff>
      <xdr:row>36</xdr:row>
      <xdr:rowOff>137160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5917.985405092601" createdVersion="5" refreshedVersion="5" minRefreshableVersion="3" recordCount="500" xr:uid="{00000000-000A-0000-FFFF-FFFF00000000}">
  <cacheSource type="worksheet">
    <worksheetSource name="Table1"/>
  </cacheSource>
  <cacheFields count="8">
    <cacheField name="EnrollmentID" numFmtId="0">
      <sharedItems count="500">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 v="E051"/>
        <s v="E052"/>
        <s v="E053"/>
        <s v="E054"/>
        <s v="E055"/>
        <s v="E056"/>
        <s v="E057"/>
        <s v="E058"/>
        <s v="E059"/>
        <s v="E060"/>
        <s v="E061"/>
        <s v="E062"/>
        <s v="E063"/>
        <s v="E064"/>
        <s v="E065"/>
        <s v="E066"/>
        <s v="E067"/>
        <s v="E068"/>
        <s v="E069"/>
        <s v="E070"/>
        <s v="E071"/>
        <s v="E072"/>
        <s v="E073"/>
        <s v="E074"/>
        <s v="E075"/>
        <s v="E076"/>
        <s v="E077"/>
        <s v="E078"/>
        <s v="E079"/>
        <s v="E080"/>
        <s v="E081"/>
        <s v="E082"/>
        <s v="E083"/>
        <s v="E084"/>
        <s v="E085"/>
        <s v="E086"/>
        <s v="E087"/>
        <s v="E088"/>
        <s v="E089"/>
        <s v="E090"/>
        <s v="E091"/>
        <s v="E092"/>
        <s v="E093"/>
        <s v="E094"/>
        <s v="E095"/>
        <s v="E096"/>
        <s v="E097"/>
        <s v="E098"/>
        <s v="E099"/>
        <s v="E100"/>
        <s v="E101"/>
        <s v="E102"/>
        <s v="E103"/>
        <s v="E104"/>
        <s v="E105"/>
        <s v="E106"/>
        <s v="E107"/>
        <s v="E108"/>
        <s v="E109"/>
        <s v="E110"/>
        <s v="E111"/>
        <s v="E112"/>
        <s v="E113"/>
        <s v="E114"/>
        <s v="E115"/>
        <s v="E116"/>
        <s v="E117"/>
        <s v="E118"/>
        <s v="E119"/>
        <s v="E120"/>
        <s v="E121"/>
        <s v="E122"/>
        <s v="E123"/>
        <s v="E124"/>
        <s v="E125"/>
        <s v="E126"/>
        <s v="E127"/>
        <s v="E128"/>
        <s v="E129"/>
        <s v="E130"/>
        <s v="E131"/>
        <s v="E132"/>
        <s v="E133"/>
        <s v="E134"/>
        <s v="E135"/>
        <s v="E136"/>
        <s v="E137"/>
        <s v="E138"/>
        <s v="E139"/>
        <s v="E140"/>
        <s v="E141"/>
        <s v="E142"/>
        <s v="E143"/>
        <s v="E144"/>
        <s v="E145"/>
        <s v="E146"/>
        <s v="E147"/>
        <s v="E148"/>
        <s v="E149"/>
        <s v="E150"/>
        <s v="E151"/>
        <s v="E152"/>
        <s v="E153"/>
        <s v="E154"/>
        <s v="E155"/>
        <s v="E156"/>
        <s v="E157"/>
        <s v="E158"/>
        <s v="E159"/>
        <s v="E160"/>
        <s v="E161"/>
        <s v="E162"/>
        <s v="E163"/>
        <s v="E164"/>
        <s v="E165"/>
        <s v="E166"/>
        <s v="E167"/>
        <s v="E168"/>
        <s v="E169"/>
        <s v="E170"/>
        <s v="E171"/>
        <s v="E172"/>
        <s v="E173"/>
        <s v="E174"/>
        <s v="E175"/>
        <s v="E176"/>
        <s v="E177"/>
        <s v="E178"/>
        <s v="E179"/>
        <s v="E180"/>
        <s v="E181"/>
        <s v="E182"/>
        <s v="E183"/>
        <s v="E184"/>
        <s v="E185"/>
        <s v="E186"/>
        <s v="E187"/>
        <s v="E188"/>
        <s v="E189"/>
        <s v="E190"/>
        <s v="E191"/>
        <s v="E192"/>
        <s v="E193"/>
        <s v="E194"/>
        <s v="E195"/>
        <s v="E196"/>
        <s v="E197"/>
        <s v="E198"/>
        <s v="E199"/>
        <s v="E200"/>
        <s v="E201"/>
        <s v="E202"/>
        <s v="E203"/>
        <s v="E204"/>
        <s v="E205"/>
        <s v="E206"/>
        <s v="E207"/>
        <s v="E208"/>
        <s v="E209"/>
        <s v="E210"/>
        <s v="E211"/>
        <s v="E212"/>
        <s v="E213"/>
        <s v="E214"/>
        <s v="E215"/>
        <s v="E216"/>
        <s v="E217"/>
        <s v="E218"/>
        <s v="E219"/>
        <s v="E220"/>
        <s v="E221"/>
        <s v="E222"/>
        <s v="E223"/>
        <s v="E224"/>
        <s v="E225"/>
        <s v="E226"/>
        <s v="E227"/>
        <s v="E228"/>
        <s v="E229"/>
        <s v="E230"/>
        <s v="E231"/>
        <s v="E232"/>
        <s v="E233"/>
        <s v="E234"/>
        <s v="E235"/>
        <s v="E236"/>
        <s v="E237"/>
        <s v="E238"/>
        <s v="E239"/>
        <s v="E240"/>
        <s v="E241"/>
        <s v="E242"/>
        <s v="E243"/>
        <s v="E244"/>
        <s v="E245"/>
        <s v="E246"/>
        <s v="E247"/>
        <s v="E248"/>
        <s v="E249"/>
        <s v="E250"/>
        <s v="E251"/>
        <s v="E252"/>
        <s v="E253"/>
        <s v="E254"/>
        <s v="E255"/>
        <s v="E256"/>
        <s v="E257"/>
        <s v="E258"/>
        <s v="E259"/>
        <s v="E260"/>
        <s v="E261"/>
        <s v="E262"/>
        <s v="E263"/>
        <s v="E264"/>
        <s v="E265"/>
        <s v="E266"/>
        <s v="E267"/>
        <s v="E268"/>
        <s v="E269"/>
        <s v="E270"/>
        <s v="E271"/>
        <s v="E272"/>
        <s v="E273"/>
        <s v="E274"/>
        <s v="E275"/>
        <s v="E276"/>
        <s v="E277"/>
        <s v="E278"/>
        <s v="E279"/>
        <s v="E280"/>
        <s v="E281"/>
        <s v="E282"/>
        <s v="E283"/>
        <s v="E284"/>
        <s v="E285"/>
        <s v="E286"/>
        <s v="E287"/>
        <s v="E288"/>
        <s v="E289"/>
        <s v="E290"/>
        <s v="E291"/>
        <s v="E292"/>
        <s v="E293"/>
        <s v="E294"/>
        <s v="E295"/>
        <s v="E296"/>
        <s v="E297"/>
        <s v="E298"/>
        <s v="E299"/>
        <s v="E300"/>
        <s v="E301"/>
        <s v="E302"/>
        <s v="E303"/>
        <s v="E304"/>
        <s v="E305"/>
        <s v="E306"/>
        <s v="E307"/>
        <s v="E308"/>
        <s v="E309"/>
        <s v="E310"/>
        <s v="E311"/>
        <s v="E312"/>
        <s v="E313"/>
        <s v="E314"/>
        <s v="E315"/>
        <s v="E316"/>
        <s v="E317"/>
        <s v="E318"/>
        <s v="E319"/>
        <s v="E320"/>
        <s v="E321"/>
        <s v="E322"/>
        <s v="E323"/>
        <s v="E324"/>
        <s v="E325"/>
        <s v="E326"/>
        <s v="E327"/>
        <s v="E328"/>
        <s v="E329"/>
        <s v="E330"/>
        <s v="E331"/>
        <s v="E332"/>
        <s v="E333"/>
        <s v="E334"/>
        <s v="E335"/>
        <s v="E336"/>
        <s v="E337"/>
        <s v="E338"/>
        <s v="E339"/>
        <s v="E340"/>
        <s v="E341"/>
        <s v="E342"/>
        <s v="E343"/>
        <s v="E344"/>
        <s v="E345"/>
        <s v="E346"/>
        <s v="E347"/>
        <s v="E348"/>
        <s v="E349"/>
        <s v="E350"/>
        <s v="E351"/>
        <s v="E352"/>
        <s v="E353"/>
        <s v="E354"/>
        <s v="E355"/>
        <s v="E356"/>
        <s v="E357"/>
        <s v="E358"/>
        <s v="E359"/>
        <s v="E360"/>
        <s v="E361"/>
        <s v="E362"/>
        <s v="E363"/>
        <s v="E364"/>
        <s v="E365"/>
        <s v="E366"/>
        <s v="E367"/>
        <s v="E368"/>
        <s v="E369"/>
        <s v="E370"/>
        <s v="E371"/>
        <s v="E372"/>
        <s v="E373"/>
        <s v="E374"/>
        <s v="E375"/>
        <s v="E376"/>
        <s v="E377"/>
        <s v="E378"/>
        <s v="E379"/>
        <s v="E380"/>
        <s v="E381"/>
        <s v="E382"/>
        <s v="E383"/>
        <s v="E384"/>
        <s v="E385"/>
        <s v="E386"/>
        <s v="E387"/>
        <s v="E388"/>
        <s v="E389"/>
        <s v="E390"/>
        <s v="E391"/>
        <s v="E392"/>
        <s v="E393"/>
        <s v="E394"/>
        <s v="E395"/>
        <s v="E396"/>
        <s v="E397"/>
        <s v="E398"/>
        <s v="E399"/>
        <s v="E400"/>
        <s v="E401"/>
        <s v="E402"/>
        <s v="E403"/>
        <s v="E404"/>
        <s v="E405"/>
        <s v="E406"/>
        <s v="E407"/>
        <s v="E408"/>
        <s v="E409"/>
        <s v="E410"/>
        <s v="E411"/>
        <s v="E412"/>
        <s v="E413"/>
        <s v="E414"/>
        <s v="E415"/>
        <s v="E416"/>
        <s v="E417"/>
        <s v="E418"/>
        <s v="E419"/>
        <s v="E420"/>
        <s v="E421"/>
        <s v="E422"/>
        <s v="E423"/>
        <s v="E424"/>
        <s v="E425"/>
        <s v="E426"/>
        <s v="E427"/>
        <s v="E428"/>
        <s v="E429"/>
        <s v="E430"/>
        <s v="E431"/>
        <s v="E432"/>
        <s v="E433"/>
        <s v="E434"/>
        <s v="E435"/>
        <s v="E436"/>
        <s v="E437"/>
        <s v="E438"/>
        <s v="E439"/>
        <s v="E440"/>
        <s v="E441"/>
        <s v="E442"/>
        <s v="E443"/>
        <s v="E444"/>
        <s v="E445"/>
        <s v="E446"/>
        <s v="E447"/>
        <s v="E448"/>
        <s v="E449"/>
        <s v="E450"/>
        <s v="E451"/>
        <s v="E452"/>
        <s v="E453"/>
        <s v="E454"/>
        <s v="E455"/>
        <s v="E456"/>
        <s v="E457"/>
        <s v="E458"/>
        <s v="E459"/>
        <s v="E460"/>
        <s v="E461"/>
        <s v="E462"/>
        <s v="E463"/>
        <s v="E464"/>
        <s v="E465"/>
        <s v="E466"/>
        <s v="E467"/>
        <s v="E468"/>
        <s v="E469"/>
        <s v="E470"/>
        <s v="E471"/>
        <s v="E472"/>
        <s v="E473"/>
        <s v="E474"/>
        <s v="E475"/>
        <s v="E476"/>
        <s v="E477"/>
        <s v="E478"/>
        <s v="E479"/>
        <s v="E480"/>
        <s v="E481"/>
        <s v="E482"/>
        <s v="E483"/>
        <s v="E484"/>
        <s v="E485"/>
        <s v="E486"/>
        <s v="E487"/>
        <s v="E488"/>
        <s v="E489"/>
        <s v="E490"/>
        <s v="E491"/>
        <s v="E492"/>
        <s v="E493"/>
        <s v="E494"/>
        <s v="E495"/>
        <s v="E496"/>
        <s v="E497"/>
        <s v="E498"/>
        <s v="E499"/>
        <s v="E500"/>
      </sharedItems>
    </cacheField>
    <cacheField name="StudentID" numFmtId="0">
      <sharedItems count="98">
        <s v="S086"/>
        <s v="S090"/>
        <s v="S061"/>
        <s v="S045"/>
        <s v="S004"/>
        <s v="S036"/>
        <s v="S083"/>
        <s v="S075"/>
        <s v="S077"/>
        <s v="S056"/>
        <s v="S050"/>
        <s v="S006"/>
        <s v="S047"/>
        <s v="S080"/>
        <s v="S065"/>
        <s v="S052"/>
        <s v="S025"/>
        <s v="S079"/>
        <s v="S071"/>
        <s v="S027"/>
        <s v="S060"/>
        <s v="S066"/>
        <s v="S037"/>
        <s v="S012"/>
        <s v="S026"/>
        <s v="S032"/>
        <s v="S059"/>
        <s v="S092"/>
        <s v="S100"/>
        <s v="S072"/>
        <s v="S018"/>
        <s v="S097"/>
        <s v="S058"/>
        <s v="S099"/>
        <s v="S031"/>
        <s v="S070"/>
        <s v="S030"/>
        <s v="S009"/>
        <s v="S098"/>
        <s v="S001"/>
        <s v="S054"/>
        <s v="S063"/>
        <s v="S017"/>
        <s v="S051"/>
        <s v="S011"/>
        <s v="S024"/>
        <s v="S042"/>
        <s v="S044"/>
        <s v="S033"/>
        <s v="S096"/>
        <s v="S029"/>
        <s v="S073"/>
        <s v="S014"/>
        <s v="S085"/>
        <s v="S002"/>
        <s v="S034"/>
        <s v="S041"/>
        <s v="S093"/>
        <s v="S013"/>
        <s v="S091"/>
        <s v="S062"/>
        <s v="S007"/>
        <s v="S074"/>
        <s v="S016"/>
        <s v="S057"/>
        <s v="S040"/>
        <s v="S023"/>
        <s v="S038"/>
        <s v="S088"/>
        <s v="S055"/>
        <s v="S010"/>
        <s v="S035"/>
        <s v="S082"/>
        <s v="S053"/>
        <s v="S015"/>
        <s v="S020"/>
        <s v="S087"/>
        <s v="S081"/>
        <s v="S089"/>
        <s v="S048"/>
        <s v="S068"/>
        <s v="S022"/>
        <s v="S039"/>
        <s v="S094"/>
        <s v="S064"/>
        <s v="S069"/>
        <s v="S008"/>
        <s v="S043"/>
        <s v="S003"/>
        <s v="S049"/>
        <s v="S076"/>
        <s v="S078"/>
        <s v="S019"/>
        <s v="S021"/>
        <s v="S067"/>
        <s v="S084"/>
        <s v="S095"/>
        <s v="S005"/>
      </sharedItems>
    </cacheField>
    <cacheField name="CourseID" numFmtId="0">
      <sharedItems count="10">
        <s v="C004"/>
        <s v="C002"/>
        <s v="C005"/>
        <s v="C009"/>
        <s v="C007"/>
        <s v="C010"/>
        <s v="C006"/>
        <s v="C001"/>
        <s v="C008"/>
        <s v="C003"/>
      </sharedItems>
    </cacheField>
    <cacheField name="Average GPA" numFmtId="0">
      <sharedItems containsSemiMixedTypes="0" containsString="0" containsNumber="1" containsInteger="1" minValue="0" maxValue="10" count="5">
        <n v="6"/>
        <n v="4"/>
        <n v="8"/>
        <n v="10"/>
        <n v="0"/>
      </sharedItems>
    </cacheField>
    <cacheField name="Semester" numFmtId="0">
      <sharedItems count="4">
        <s v="Sem 2 2024"/>
        <s v="Sem 1 2024"/>
        <s v="Sem 2 2025"/>
        <s v="Sem 1 2025"/>
      </sharedItems>
    </cacheField>
    <cacheField name="StudentName" numFmtId="0">
      <sharedItems count="15">
        <s v="Robert Taylor"/>
        <s v="Amit Kumar"/>
        <s v="Sara Khan"/>
        <s v="Sophia Wilson"/>
        <s v="Ankit Sharma"/>
        <s v="James Clark"/>
        <s v="Chris Evans"/>
        <s v="Priya Verma"/>
        <s v="Emily Davis"/>
        <s v="Nisha Gupta"/>
        <s v="Sneha Patil"/>
        <s v="Michael Brown"/>
        <s v="Raj Mehta"/>
        <s v="John Smith"/>
        <s v="Daniel Lee"/>
      </sharedItems>
    </cacheField>
    <cacheField name="Gender" numFmtId="0">
      <sharedItems count="2">
        <s v="M"/>
        <s v="F"/>
      </sharedItems>
    </cacheField>
    <cacheField name="CourseName" numFmtId="0">
      <sharedItems count="10">
        <s v="Circuits"/>
        <s v="DBMS"/>
        <s v="AI &amp; ML"/>
        <s v="Marketing"/>
        <s v="Digital Logic"/>
        <s v="Finance"/>
        <s v="Fluid Mechanics"/>
        <s v="Data Structures"/>
        <s v="Structural Analysis"/>
        <s v="Thermodynamics"/>
      </sharedItems>
    </cacheField>
  </cacheFields>
  <extLst>
    <ext xmlns:x14="http://schemas.microsoft.com/office/spreadsheetml/2009/9/main" uri="{725AE2AE-9491-48be-B2B4-4EB974FC3084}">
      <x14:pivotCacheDefinition pivotCacheId="17958282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5918.511805555601" createdVersion="5" refreshedVersion="5" minRefreshableVersion="3" recordCount="500" xr:uid="{00000000-000A-0000-FFFF-FFFF01000000}">
  <cacheSource type="worksheet">
    <worksheetSource ref="A1:I501" sheet="Combined"/>
  </cacheSource>
  <cacheFields count="9">
    <cacheField name="EnrollmentID" numFmtId="0">
      <sharedItems count="500">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 v="E051"/>
        <s v="E052"/>
        <s v="E053"/>
        <s v="E054"/>
        <s v="E055"/>
        <s v="E056"/>
        <s v="E057"/>
        <s v="E058"/>
        <s v="E059"/>
        <s v="E060"/>
        <s v="E061"/>
        <s v="E062"/>
        <s v="E063"/>
        <s v="E064"/>
        <s v="E065"/>
        <s v="E066"/>
        <s v="E067"/>
        <s v="E068"/>
        <s v="E069"/>
        <s v="E070"/>
        <s v="E071"/>
        <s v="E072"/>
        <s v="E073"/>
        <s v="E074"/>
        <s v="E075"/>
        <s v="E076"/>
        <s v="E077"/>
        <s v="E078"/>
        <s v="E079"/>
        <s v="E080"/>
        <s v="E081"/>
        <s v="E082"/>
        <s v="E083"/>
        <s v="E084"/>
        <s v="E085"/>
        <s v="E086"/>
        <s v="E087"/>
        <s v="E088"/>
        <s v="E089"/>
        <s v="E090"/>
        <s v="E091"/>
        <s v="E092"/>
        <s v="E093"/>
        <s v="E094"/>
        <s v="E095"/>
        <s v="E096"/>
        <s v="E097"/>
        <s v="E098"/>
        <s v="E099"/>
        <s v="E100"/>
        <s v="E101"/>
        <s v="E102"/>
        <s v="E103"/>
        <s v="E104"/>
        <s v="E105"/>
        <s v="E106"/>
        <s v="E107"/>
        <s v="E108"/>
        <s v="E109"/>
        <s v="E110"/>
        <s v="E111"/>
        <s v="E112"/>
        <s v="E113"/>
        <s v="E114"/>
        <s v="E115"/>
        <s v="E116"/>
        <s v="E117"/>
        <s v="E118"/>
        <s v="E119"/>
        <s v="E120"/>
        <s v="E121"/>
        <s v="E122"/>
        <s v="E123"/>
        <s v="E124"/>
        <s v="E125"/>
        <s v="E126"/>
        <s v="E127"/>
        <s v="E128"/>
        <s v="E129"/>
        <s v="E130"/>
        <s v="E131"/>
        <s v="E132"/>
        <s v="E133"/>
        <s v="E134"/>
        <s v="E135"/>
        <s v="E136"/>
        <s v="E137"/>
        <s v="E138"/>
        <s v="E139"/>
        <s v="E140"/>
        <s v="E141"/>
        <s v="E142"/>
        <s v="E143"/>
        <s v="E144"/>
        <s v="E145"/>
        <s v="E146"/>
        <s v="E147"/>
        <s v="E148"/>
        <s v="E149"/>
        <s v="E150"/>
        <s v="E151"/>
        <s v="E152"/>
        <s v="E153"/>
        <s v="E154"/>
        <s v="E155"/>
        <s v="E156"/>
        <s v="E157"/>
        <s v="E158"/>
        <s v="E159"/>
        <s v="E160"/>
        <s v="E161"/>
        <s v="E162"/>
        <s v="E163"/>
        <s v="E164"/>
        <s v="E165"/>
        <s v="E166"/>
        <s v="E167"/>
        <s v="E168"/>
        <s v="E169"/>
        <s v="E170"/>
        <s v="E171"/>
        <s v="E172"/>
        <s v="E173"/>
        <s v="E174"/>
        <s v="E175"/>
        <s v="E176"/>
        <s v="E177"/>
        <s v="E178"/>
        <s v="E179"/>
        <s v="E180"/>
        <s v="E181"/>
        <s v="E182"/>
        <s v="E183"/>
        <s v="E184"/>
        <s v="E185"/>
        <s v="E186"/>
        <s v="E187"/>
        <s v="E188"/>
        <s v="E189"/>
        <s v="E190"/>
        <s v="E191"/>
        <s v="E192"/>
        <s v="E193"/>
        <s v="E194"/>
        <s v="E195"/>
        <s v="E196"/>
        <s v="E197"/>
        <s v="E198"/>
        <s v="E199"/>
        <s v="E200"/>
        <s v="E201"/>
        <s v="E202"/>
        <s v="E203"/>
        <s v="E204"/>
        <s v="E205"/>
        <s v="E206"/>
        <s v="E207"/>
        <s v="E208"/>
        <s v="E209"/>
        <s v="E210"/>
        <s v="E211"/>
        <s v="E212"/>
        <s v="E213"/>
        <s v="E214"/>
        <s v="E215"/>
        <s v="E216"/>
        <s v="E217"/>
        <s v="E218"/>
        <s v="E219"/>
        <s v="E220"/>
        <s v="E221"/>
        <s v="E222"/>
        <s v="E223"/>
        <s v="E224"/>
        <s v="E225"/>
        <s v="E226"/>
        <s v="E227"/>
        <s v="E228"/>
        <s v="E229"/>
        <s v="E230"/>
        <s v="E231"/>
        <s v="E232"/>
        <s v="E233"/>
        <s v="E234"/>
        <s v="E235"/>
        <s v="E236"/>
        <s v="E237"/>
        <s v="E238"/>
        <s v="E239"/>
        <s v="E240"/>
        <s v="E241"/>
        <s v="E242"/>
        <s v="E243"/>
        <s v="E244"/>
        <s v="E245"/>
        <s v="E246"/>
        <s v="E247"/>
        <s v="E248"/>
        <s v="E249"/>
        <s v="E250"/>
        <s v="E251"/>
        <s v="E252"/>
        <s v="E253"/>
        <s v="E254"/>
        <s v="E255"/>
        <s v="E256"/>
        <s v="E257"/>
        <s v="E258"/>
        <s v="E259"/>
        <s v="E260"/>
        <s v="E261"/>
        <s v="E262"/>
        <s v="E263"/>
        <s v="E264"/>
        <s v="E265"/>
        <s v="E266"/>
        <s v="E267"/>
        <s v="E268"/>
        <s v="E269"/>
        <s v="E270"/>
        <s v="E271"/>
        <s v="E272"/>
        <s v="E273"/>
        <s v="E274"/>
        <s v="E275"/>
        <s v="E276"/>
        <s v="E277"/>
        <s v="E278"/>
        <s v="E279"/>
        <s v="E280"/>
        <s v="E281"/>
        <s v="E282"/>
        <s v="E283"/>
        <s v="E284"/>
        <s v="E285"/>
        <s v="E286"/>
        <s v="E287"/>
        <s v="E288"/>
        <s v="E289"/>
        <s v="E290"/>
        <s v="E291"/>
        <s v="E292"/>
        <s v="E293"/>
        <s v="E294"/>
        <s v="E295"/>
        <s v="E296"/>
        <s v="E297"/>
        <s v="E298"/>
        <s v="E299"/>
        <s v="E300"/>
        <s v="E301"/>
        <s v="E302"/>
        <s v="E303"/>
        <s v="E304"/>
        <s v="E305"/>
        <s v="E306"/>
        <s v="E307"/>
        <s v="E308"/>
        <s v="E309"/>
        <s v="E310"/>
        <s v="E311"/>
        <s v="E312"/>
        <s v="E313"/>
        <s v="E314"/>
        <s v="E315"/>
        <s v="E316"/>
        <s v="E317"/>
        <s v="E318"/>
        <s v="E319"/>
        <s v="E320"/>
        <s v="E321"/>
        <s v="E322"/>
        <s v="E323"/>
        <s v="E324"/>
        <s v="E325"/>
        <s v="E326"/>
        <s v="E327"/>
        <s v="E328"/>
        <s v="E329"/>
        <s v="E330"/>
        <s v="E331"/>
        <s v="E332"/>
        <s v="E333"/>
        <s v="E334"/>
        <s v="E335"/>
        <s v="E336"/>
        <s v="E337"/>
        <s v="E338"/>
        <s v="E339"/>
        <s v="E340"/>
        <s v="E341"/>
        <s v="E342"/>
        <s v="E343"/>
        <s v="E344"/>
        <s v="E345"/>
        <s v="E346"/>
        <s v="E347"/>
        <s v="E348"/>
        <s v="E349"/>
        <s v="E350"/>
        <s v="E351"/>
        <s v="E352"/>
        <s v="E353"/>
        <s v="E354"/>
        <s v="E355"/>
        <s v="E356"/>
        <s v="E357"/>
        <s v="E358"/>
        <s v="E359"/>
        <s v="E360"/>
        <s v="E361"/>
        <s v="E362"/>
        <s v="E363"/>
        <s v="E364"/>
        <s v="E365"/>
        <s v="E366"/>
        <s v="E367"/>
        <s v="E368"/>
        <s v="E369"/>
        <s v="E370"/>
        <s v="E371"/>
        <s v="E372"/>
        <s v="E373"/>
        <s v="E374"/>
        <s v="E375"/>
        <s v="E376"/>
        <s v="E377"/>
        <s v="E378"/>
        <s v="E379"/>
        <s v="E380"/>
        <s v="E381"/>
        <s v="E382"/>
        <s v="E383"/>
        <s v="E384"/>
        <s v="E385"/>
        <s v="E386"/>
        <s v="E387"/>
        <s v="E388"/>
        <s v="E389"/>
        <s v="E390"/>
        <s v="E391"/>
        <s v="E392"/>
        <s v="E393"/>
        <s v="E394"/>
        <s v="E395"/>
        <s v="E396"/>
        <s v="E397"/>
        <s v="E398"/>
        <s v="E399"/>
        <s v="E400"/>
        <s v="E401"/>
        <s v="E402"/>
        <s v="E403"/>
        <s v="E404"/>
        <s v="E405"/>
        <s v="E406"/>
        <s v="E407"/>
        <s v="E408"/>
        <s v="E409"/>
        <s v="E410"/>
        <s v="E411"/>
        <s v="E412"/>
        <s v="E413"/>
        <s v="E414"/>
        <s v="E415"/>
        <s v="E416"/>
        <s v="E417"/>
        <s v="E418"/>
        <s v="E419"/>
        <s v="E420"/>
        <s v="E421"/>
        <s v="E422"/>
        <s v="E423"/>
        <s v="E424"/>
        <s v="E425"/>
        <s v="E426"/>
        <s v="E427"/>
        <s v="E428"/>
        <s v="E429"/>
        <s v="E430"/>
        <s v="E431"/>
        <s v="E432"/>
        <s v="E433"/>
        <s v="E434"/>
        <s v="E435"/>
        <s v="E436"/>
        <s v="E437"/>
        <s v="E438"/>
        <s v="E439"/>
        <s v="E440"/>
        <s v="E441"/>
        <s v="E442"/>
        <s v="E443"/>
        <s v="E444"/>
        <s v="E445"/>
        <s v="E446"/>
        <s v="E447"/>
        <s v="E448"/>
        <s v="E449"/>
        <s v="E450"/>
        <s v="E451"/>
        <s v="E452"/>
        <s v="E453"/>
        <s v="E454"/>
        <s v="E455"/>
        <s v="E456"/>
        <s v="E457"/>
        <s v="E458"/>
        <s v="E459"/>
        <s v="E460"/>
        <s v="E461"/>
        <s v="E462"/>
        <s v="E463"/>
        <s v="E464"/>
        <s v="E465"/>
        <s v="E466"/>
        <s v="E467"/>
        <s v="E468"/>
        <s v="E469"/>
        <s v="E470"/>
        <s v="E471"/>
        <s v="E472"/>
        <s v="E473"/>
        <s v="E474"/>
        <s v="E475"/>
        <s v="E476"/>
        <s v="E477"/>
        <s v="E478"/>
        <s v="E479"/>
        <s v="E480"/>
        <s v="E481"/>
        <s v="E482"/>
        <s v="E483"/>
        <s v="E484"/>
        <s v="E485"/>
        <s v="E486"/>
        <s v="E487"/>
        <s v="E488"/>
        <s v="E489"/>
        <s v="E490"/>
        <s v="E491"/>
        <s v="E492"/>
        <s v="E493"/>
        <s v="E494"/>
        <s v="E495"/>
        <s v="E496"/>
        <s v="E497"/>
        <s v="E498"/>
        <s v="E499"/>
        <s v="E500"/>
      </sharedItems>
    </cacheField>
    <cacheField name="StudentID" numFmtId="0">
      <sharedItems count="98">
        <s v="S086"/>
        <s v="S090"/>
        <s v="S061"/>
        <s v="S045"/>
        <s v="S004"/>
        <s v="S036"/>
        <s v="S083"/>
        <s v="S075"/>
        <s v="S077"/>
        <s v="S056"/>
        <s v="S050"/>
        <s v="S006"/>
        <s v="S047"/>
        <s v="S080"/>
        <s v="S065"/>
        <s v="S052"/>
        <s v="S025"/>
        <s v="S079"/>
        <s v="S071"/>
        <s v="S027"/>
        <s v="S060"/>
        <s v="S066"/>
        <s v="S037"/>
        <s v="S012"/>
        <s v="S026"/>
        <s v="S032"/>
        <s v="S059"/>
        <s v="S092"/>
        <s v="S100"/>
        <s v="S072"/>
        <s v="S018"/>
        <s v="S097"/>
        <s v="S058"/>
        <s v="S099"/>
        <s v="S031"/>
        <s v="S070"/>
        <s v="S030"/>
        <s v="S009"/>
        <s v="S098"/>
        <s v="S001"/>
        <s v="S054"/>
        <s v="S063"/>
        <s v="S017"/>
        <s v="S051"/>
        <s v="S011"/>
        <s v="S024"/>
        <s v="S042"/>
        <s v="S044"/>
        <s v="S033"/>
        <s v="S096"/>
        <s v="S029"/>
        <s v="S073"/>
        <s v="S014"/>
        <s v="S085"/>
        <s v="S002"/>
        <s v="S034"/>
        <s v="S041"/>
        <s v="S093"/>
        <s v="S013"/>
        <s v="S091"/>
        <s v="S062"/>
        <s v="S007"/>
        <s v="S074"/>
        <s v="S016"/>
        <s v="S057"/>
        <s v="S040"/>
        <s v="S023"/>
        <s v="S038"/>
        <s v="S088"/>
        <s v="S055"/>
        <s v="S010"/>
        <s v="S035"/>
        <s v="S082"/>
        <s v="S053"/>
        <s v="S015"/>
        <s v="S020"/>
        <s v="S087"/>
        <s v="S081"/>
        <s v="S089"/>
        <s v="S048"/>
        <s v="S068"/>
        <s v="S022"/>
        <s v="S039"/>
        <s v="S094"/>
        <s v="S064"/>
        <s v="S069"/>
        <s v="S008"/>
        <s v="S043"/>
        <s v="S003"/>
        <s v="S049"/>
        <s v="S076"/>
        <s v="S078"/>
        <s v="S019"/>
        <s v="S021"/>
        <s v="S067"/>
        <s v="S084"/>
        <s v="S095"/>
        <s v="S005"/>
      </sharedItems>
    </cacheField>
    <cacheField name="CourseID" numFmtId="0">
      <sharedItems count="10">
        <s v="C004"/>
        <s v="C002"/>
        <s v="C005"/>
        <s v="C009"/>
        <s v="C007"/>
        <s v="C010"/>
        <s v="C006"/>
        <s v="C001"/>
        <s v="C008"/>
        <s v="C003"/>
      </sharedItems>
    </cacheField>
    <cacheField name="Average GPA" numFmtId="0">
      <sharedItems containsSemiMixedTypes="0" containsString="0" containsNumber="1" containsInteger="1" minValue="0" maxValue="10" count="5">
        <n v="6"/>
        <n v="4"/>
        <n v="8"/>
        <n v="10"/>
        <n v="0"/>
      </sharedItems>
    </cacheField>
    <cacheField name="Semester" numFmtId="0">
      <sharedItems count="4">
        <s v="Sem 2 2024"/>
        <s v="Sem 1 2024"/>
        <s v="Sem 2 2025"/>
        <s v="Sem 1 2025"/>
      </sharedItems>
    </cacheField>
    <cacheField name="StudentName" numFmtId="0">
      <sharedItems count="15">
        <s v="Robert Taylor"/>
        <s v="Amit Kumar"/>
        <s v="Sara Khan"/>
        <s v="Sophia Wilson"/>
        <s v="Ankit Sharma"/>
        <s v="James Clark"/>
        <s v="Chris Evans"/>
        <s v="Priya Verma"/>
        <s v="Emily Davis"/>
        <s v="Nisha Gupta"/>
        <s v="Sneha Patil"/>
        <s v="Michael Brown"/>
        <s v="Raj Mehta"/>
        <s v="John Smith"/>
        <s v="Daniel Lee"/>
      </sharedItems>
    </cacheField>
    <cacheField name="Gender" numFmtId="0">
      <sharedItems count="2">
        <s v="M"/>
        <s v="F"/>
      </sharedItems>
    </cacheField>
    <cacheField name="CourseName" numFmtId="0">
      <sharedItems count="10">
        <s v="Circuits"/>
        <s v="DBMS"/>
        <s v="AI &amp; ML"/>
        <s v="Marketing"/>
        <s v="Digital Logic"/>
        <s v="Finance"/>
        <s v="Fluid Mechanics"/>
        <s v="Data Structures"/>
        <s v="Structural Analysis"/>
        <s v="Thermodynamics"/>
      </sharedItems>
    </cacheField>
    <cacheField name="Department Name" numFmtId="0">
      <sharedItems count="5">
        <s v="Mechanical"/>
        <s v="Civil"/>
        <s v="Management"/>
        <s v="Electronics"/>
        <s v="Computer Sci"/>
      </sharedItems>
    </cacheField>
  </cacheFields>
  <extLst>
    <ext xmlns:x14="http://schemas.microsoft.com/office/spreadsheetml/2009/9/main" uri="{725AE2AE-9491-48be-B2B4-4EB974FC3084}">
      <x14:pivotCacheDefinition pivotCacheId="30435451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5918.563854166699" createdVersion="5" refreshedVersion="5" minRefreshableVersion="3" recordCount="500" xr:uid="{00000000-000A-0000-FFFF-FFFF02000000}">
  <cacheSource type="worksheet">
    <worksheetSource ref="A19:F519" sheet="Problem6"/>
  </cacheSource>
  <cacheFields count="5">
    <cacheField name="EnrollmentID" numFmtId="0">
      <sharedItems count="500">
        <s v="E047"/>
        <s v="E112"/>
        <s v="E248"/>
        <s v="E260"/>
        <s v="E336"/>
        <s v="E071"/>
        <s v="E099"/>
        <s v="E158"/>
        <s v="E193"/>
        <s v="E215"/>
        <s v="E471"/>
        <s v="E216"/>
        <s v="E266"/>
        <s v="E433"/>
        <s v="E005"/>
        <s v="E008"/>
        <s v="E124"/>
        <s v="E140"/>
        <s v="E322"/>
        <s v="E371"/>
        <s v="E499"/>
        <s v="E013"/>
        <s v="E097"/>
        <s v="E154"/>
        <s v="E259"/>
        <s v="E292"/>
        <s v="E311"/>
        <s v="E343"/>
        <s v="E361"/>
        <s v="E397"/>
        <s v="E419"/>
        <s v="E426"/>
        <s v="E452"/>
        <s v="E497"/>
        <s v="E101"/>
        <s v="E136"/>
        <s v="E253"/>
        <s v="E415"/>
        <s v="E207"/>
        <s v="E290"/>
        <s v="E043"/>
        <s v="E102"/>
        <s v="E147"/>
        <s v="E211"/>
        <s v="E249"/>
        <s v="E282"/>
        <s v="E341"/>
        <s v="E383"/>
        <s v="E118"/>
        <s v="E159"/>
        <s v="E191"/>
        <s v="E265"/>
        <s v="E488"/>
        <s v="E054"/>
        <s v="E082"/>
        <s v="E235"/>
        <s v="E299"/>
        <s v="E324"/>
        <s v="E356"/>
        <s v="E358"/>
        <s v="E025"/>
        <s v="E133"/>
        <s v="E142"/>
        <s v="E321"/>
        <s v="E413"/>
        <s v="E492"/>
        <s v="E094"/>
        <s v="E157"/>
        <s v="E206"/>
        <s v="E229"/>
        <s v="E297"/>
        <s v="E307"/>
        <s v="E408"/>
        <s v="E423"/>
        <s v="E068"/>
        <s v="E178"/>
        <s v="E417"/>
        <s v="E134"/>
        <s v="E330"/>
        <s v="E333"/>
        <s v="E491"/>
        <s v="E105"/>
        <s v="E120"/>
        <s v="E143"/>
        <s v="E208"/>
        <s v="E331"/>
        <s v="E352"/>
        <s v="E389"/>
        <s v="E450"/>
        <s v="E052"/>
        <s v="E156"/>
        <s v="E188"/>
        <s v="E217"/>
        <s v="E226"/>
        <s v="E302"/>
        <s v="E365"/>
        <s v="E385"/>
        <s v="E393"/>
        <s v="E405"/>
        <s v="E034"/>
        <s v="E199"/>
        <s v="E306"/>
        <s v="E326"/>
        <s v="E375"/>
        <s v="E380"/>
        <s v="E455"/>
        <s v="E468"/>
        <s v="E277"/>
        <s v="E364"/>
        <s v="E438"/>
        <s v="E150"/>
        <s v="E316"/>
        <s v="E481"/>
        <s v="E170"/>
        <s v="E189"/>
        <s v="E390"/>
        <s v="E395"/>
        <s v="E437"/>
        <s v="E490"/>
        <s v="E111"/>
        <s v="E214"/>
        <s v="E464"/>
        <s v="E472"/>
        <s v="E055"/>
        <s v="E079"/>
        <s v="E310"/>
        <s v="E354"/>
        <s v="E465"/>
        <s v="E018"/>
        <s v="E092"/>
        <s v="E439"/>
        <s v="E446"/>
        <s v="E469"/>
        <s v="E026"/>
        <s v="E347"/>
        <s v="E454"/>
        <s v="E021"/>
        <s v="E045"/>
        <s v="E138"/>
        <s v="E403"/>
        <s v="E060"/>
        <s v="E085"/>
        <s v="E183"/>
        <s v="E447"/>
        <s v="E042"/>
        <s v="E164"/>
        <s v="E172"/>
        <s v="E212"/>
        <s v="E313"/>
        <s v="E040"/>
        <s v="E062"/>
        <s v="E414"/>
        <s v="E027"/>
        <s v="E030"/>
        <s v="E061"/>
        <s v="E076"/>
        <s v="E077"/>
        <s v="E456"/>
        <s v="E058"/>
        <s v="E090"/>
        <s v="E173"/>
        <s v="E298"/>
        <s v="E317"/>
        <s v="E329"/>
        <s v="E392"/>
        <s v="E496"/>
        <s v="E080"/>
        <s v="E110"/>
        <s v="E476"/>
        <s v="E121"/>
        <s v="E247"/>
        <s v="E407"/>
        <s v="E006"/>
        <s v="E039"/>
        <s v="E127"/>
        <s v="E204"/>
        <s v="E213"/>
        <s v="E283"/>
        <s v="E362"/>
        <s v="E024"/>
        <s v="E139"/>
        <s v="E182"/>
        <s v="E286"/>
        <s v="E319"/>
        <s v="E113"/>
        <s v="E177"/>
        <s v="E378"/>
        <s v="E466"/>
        <s v="E108"/>
        <s v="E141"/>
        <s v="E185"/>
        <s v="E300"/>
        <s v="E301"/>
        <s v="E304"/>
        <s v="E091"/>
        <s v="E233"/>
        <s v="E325"/>
        <s v="E348"/>
        <s v="E404"/>
        <s v="E406"/>
        <s v="E444"/>
        <s v="E056"/>
        <s v="E167"/>
        <s v="E187"/>
        <s v="E225"/>
        <s v="E262"/>
        <s v="E410"/>
        <s v="E210"/>
        <s v="E274"/>
        <s v="E467"/>
        <s v="E057"/>
        <s v="E078"/>
        <s v="E231"/>
        <s v="E004"/>
        <s v="E129"/>
        <s v="E151"/>
        <s v="E243"/>
        <s v="E257"/>
        <s v="E276"/>
        <s v="E391"/>
        <s v="E449"/>
        <s v="E014"/>
        <s v="E095"/>
        <s v="E294"/>
        <s v="E363"/>
        <s v="E366"/>
        <s v="E381"/>
        <s v="E420"/>
        <s v="E168"/>
        <s v="E202"/>
        <s v="E252"/>
        <s v="E340"/>
        <s v="E368"/>
        <s v="E227"/>
        <s v="E264"/>
        <s v="E012"/>
        <s v="E146"/>
        <s v="E155"/>
        <s v="E339"/>
        <s v="E421"/>
        <s v="E053"/>
        <s v="E067"/>
        <s v="E273"/>
        <s v="E451"/>
        <s v="E017"/>
        <s v="E223"/>
        <s v="E269"/>
        <s v="E131"/>
        <s v="E295"/>
        <s v="E441"/>
        <s v="E458"/>
        <s v="E460"/>
        <s v="E048"/>
        <s v="E203"/>
        <s v="E251"/>
        <s v="E256"/>
        <s v="E434"/>
        <s v="E440"/>
        <s v="E485"/>
        <s v="E116"/>
        <s v="E245"/>
        <s v="E011"/>
        <s v="E072"/>
        <s v="E073"/>
        <s v="E075"/>
        <s v="E123"/>
        <s v="E230"/>
        <s v="E271"/>
        <s v="E107"/>
        <s v="E122"/>
        <s v="E175"/>
        <s v="E205"/>
        <s v="E312"/>
        <s v="E402"/>
        <s v="E453"/>
        <s v="E037"/>
        <s v="E084"/>
        <s v="E220"/>
        <s v="E285"/>
        <s v="E288"/>
        <s v="E320"/>
        <s v="E359"/>
        <s v="E028"/>
        <s v="E152"/>
        <s v="E194"/>
        <s v="E228"/>
        <s v="E401"/>
        <s v="E493"/>
        <s v="E494"/>
        <s v="E022"/>
        <s v="E287"/>
        <s v="E315"/>
        <s v="E382"/>
        <s v="E386"/>
        <s v="E003"/>
        <s v="E145"/>
        <s v="E196"/>
        <s v="E314"/>
        <s v="E427"/>
        <s v="E100"/>
        <s v="E400"/>
        <s v="E475"/>
        <s v="E484"/>
        <s v="E049"/>
        <s v="E050"/>
        <s v="E200"/>
        <s v="E399"/>
        <s v="E412"/>
        <s v="E016"/>
        <s v="E148"/>
        <s v="E284"/>
        <s v="E323"/>
        <s v="E394"/>
        <s v="E431"/>
        <s v="E023"/>
        <s v="E144"/>
        <s v="E303"/>
        <s v="E379"/>
        <s v="E473"/>
        <s v="E355"/>
        <s v="E169"/>
        <s v="E275"/>
        <s v="E293"/>
        <s v="E338"/>
        <s v="E369"/>
        <s v="E384"/>
        <s v="E487"/>
        <s v="E201"/>
        <s v="E463"/>
        <s v="E041"/>
        <s v="E044"/>
        <s v="E349"/>
        <s v="E357"/>
        <s v="E445"/>
        <s v="E498"/>
        <s v="E020"/>
        <s v="E036"/>
        <s v="E087"/>
        <s v="E318"/>
        <s v="E489"/>
        <s v="E033"/>
        <s v="E081"/>
        <s v="E083"/>
        <s v="E192"/>
        <s v="E372"/>
        <s v="E424"/>
        <s v="E443"/>
        <s v="E063"/>
        <s v="E069"/>
        <s v="E104"/>
        <s v="E181"/>
        <s v="E396"/>
        <s v="E103"/>
        <s v="E153"/>
        <s v="E179"/>
        <s v="E241"/>
        <s v="E267"/>
        <s v="E337"/>
        <s v="E009"/>
        <s v="E066"/>
        <s v="E478"/>
        <s v="E237"/>
        <s v="E272"/>
        <s v="E010"/>
        <s v="E119"/>
        <s v="E240"/>
        <s v="E309"/>
        <s v="E416"/>
        <s v="E435"/>
        <s v="E246"/>
        <s v="E278"/>
        <s v="E289"/>
        <s v="E367"/>
        <s v="E425"/>
        <s v="E428"/>
        <s v="E019"/>
        <s v="E074"/>
        <s v="E109"/>
        <s v="E197"/>
        <s v="E328"/>
        <s v="E409"/>
        <s v="E429"/>
        <s v="E430"/>
        <s v="E483"/>
        <s v="E015"/>
        <s v="E137"/>
        <s v="E160"/>
        <s v="E163"/>
        <s v="E171"/>
        <s v="E270"/>
        <s v="E422"/>
        <s v="E162"/>
        <s v="E281"/>
        <s v="E296"/>
        <s v="E334"/>
        <s v="E345"/>
        <s v="E128"/>
        <s v="E176"/>
        <s v="E195"/>
        <s v="E332"/>
        <s v="E457"/>
        <s v="E007"/>
        <s v="E117"/>
        <s v="E209"/>
        <s v="E222"/>
        <s v="E344"/>
        <s v="E462"/>
        <s v="E370"/>
        <s v="E479"/>
        <s v="E070"/>
        <s v="E086"/>
        <s v="E135"/>
        <s v="E180"/>
        <s v="E242"/>
        <s v="E255"/>
        <s v="E308"/>
        <s v="E001"/>
        <s v="E051"/>
        <s v="E130"/>
        <s v="E238"/>
        <s v="E239"/>
        <s v="E377"/>
        <s v="E474"/>
        <s v="E480"/>
        <s v="E161"/>
        <s v="E174"/>
        <s v="E184"/>
        <s v="E254"/>
        <s v="E258"/>
        <s v="E495"/>
        <s v="E115"/>
        <s v="E234"/>
        <s v="E280"/>
        <s v="E459"/>
        <s v="E166"/>
        <s v="E360"/>
        <s v="E374"/>
        <s v="E448"/>
        <s v="E482"/>
        <s v="E002"/>
        <s v="E032"/>
        <s v="E089"/>
        <s v="E098"/>
        <s v="E198"/>
        <s v="E327"/>
        <s v="E096"/>
        <s v="E114"/>
        <s v="E268"/>
        <s v="E373"/>
        <s v="E432"/>
        <s v="E029"/>
        <s v="E224"/>
        <s v="E291"/>
        <s v="E335"/>
        <s v="E346"/>
        <s v="E376"/>
        <s v="E093"/>
        <s v="E149"/>
        <s v="E436"/>
        <s v="E186"/>
        <s v="E221"/>
        <s v="E232"/>
        <s v="E418"/>
        <s v="E470"/>
        <s v="E442"/>
        <s v="E059"/>
        <s v="E088"/>
        <s v="E190"/>
        <s v="E218"/>
        <s v="E236"/>
        <s v="E250"/>
        <s v="E263"/>
        <s v="E353"/>
        <s v="E035"/>
        <s v="E350"/>
        <s v="E461"/>
        <s v="E477"/>
        <s v="E046"/>
        <s v="E125"/>
        <s v="E126"/>
        <s v="E132"/>
        <s v="E165"/>
        <s v="E244"/>
        <s v="E411"/>
        <s v="E486"/>
        <s v="E038"/>
        <s v="E064"/>
        <s v="E261"/>
        <s v="E279"/>
        <s v="E305"/>
        <s v="E342"/>
        <s v="E388"/>
        <s v="E398"/>
        <s v="E500"/>
        <s v="E031"/>
        <s v="E065"/>
        <s v="E106"/>
        <s v="E219"/>
        <s v="E351"/>
        <s v="E387"/>
      </sharedItems>
    </cacheField>
    <cacheField name="StudentID" numFmtId="0">
      <sharedItems count="98">
        <s v="S001"/>
        <s v="S002"/>
        <s v="S003"/>
        <s v="S004"/>
        <s v="S005"/>
        <s v="S006"/>
        <s v="S007"/>
        <s v="S008"/>
        <s v="S009"/>
        <s v="S010"/>
        <s v="S011"/>
        <s v="S012"/>
        <s v="S013"/>
        <s v="S014"/>
        <s v="S015"/>
        <s v="S016"/>
        <s v="S017"/>
        <s v="S018"/>
        <s v="S019"/>
        <s v="S020"/>
        <s v="S021"/>
        <s v="S022"/>
        <s v="S023"/>
        <s v="S024"/>
        <s v="S025"/>
        <s v="S026"/>
        <s v="S027"/>
        <s v="S029"/>
        <s v="S030"/>
        <s v="S031"/>
        <s v="S032"/>
        <s v="S033"/>
        <s v="S034"/>
        <s v="S035"/>
        <s v="S036"/>
        <s v="S037"/>
        <s v="S038"/>
        <s v="S039"/>
        <s v="S040"/>
        <s v="S041"/>
        <s v="S042"/>
        <s v="S043"/>
        <s v="S044"/>
        <s v="S045"/>
        <s v="S047"/>
        <s v="S048"/>
        <s v="S049"/>
        <s v="S050"/>
        <s v="S051"/>
        <s v="S052"/>
        <s v="S053"/>
        <s v="S054"/>
        <s v="S055"/>
        <s v="S056"/>
        <s v="S057"/>
        <s v="S058"/>
        <s v="S059"/>
        <s v="S060"/>
        <s v="S061"/>
        <s v="S062"/>
        <s v="S063"/>
        <s v="S064"/>
        <s v="S065"/>
        <s v="S066"/>
        <s v="S067"/>
        <s v="S068"/>
        <s v="S069"/>
        <s v="S070"/>
        <s v="S071"/>
        <s v="S072"/>
        <s v="S073"/>
        <s v="S074"/>
        <s v="S075"/>
        <s v="S076"/>
        <s v="S077"/>
        <s v="S078"/>
        <s v="S079"/>
        <s v="S080"/>
        <s v="S081"/>
        <s v="S082"/>
        <s v="S083"/>
        <s v="S084"/>
        <s v="S085"/>
        <s v="S086"/>
        <s v="S087"/>
        <s v="S088"/>
        <s v="S089"/>
        <s v="S090"/>
        <s v="S091"/>
        <s v="S092"/>
        <s v="S093"/>
        <s v="S094"/>
        <s v="S095"/>
        <s v="S096"/>
        <s v="S097"/>
        <s v="S098"/>
        <s v="S099"/>
        <s v="S100"/>
      </sharedItems>
    </cacheField>
    <cacheField name="CourseID" numFmtId="0">
      <sharedItems count="10">
        <s v="C006"/>
        <s v="C007"/>
        <s v="C003"/>
        <s v="C004"/>
        <s v="C010"/>
        <s v="C005"/>
        <s v="C008"/>
        <s v="C002"/>
        <s v="C001"/>
        <s v="C009"/>
      </sharedItems>
    </cacheField>
    <cacheField name="CourseName" numFmtId="0">
      <sharedItems count="10">
        <s v="Fluid Mechanics"/>
        <s v="Digital Logic"/>
        <s v="Thermodynamics"/>
        <s v="Circuits"/>
        <s v="Finance"/>
        <s v="AI &amp; ML"/>
        <s v="Structural Analysis"/>
        <s v="DBMS"/>
        <s v="Data Structures"/>
        <s v="Marketing"/>
      </sharedItems>
    </cacheField>
    <cacheField name="Credit" numFmtId="0">
      <sharedItems containsSemiMixedTypes="0" containsString="0" containsNumber="1" containsInteger="1" minValue="0" maxValue="4" count="2">
        <n v="4"/>
        <n v="3"/>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5918.622962963003" createdVersion="5" refreshedVersion="5" minRefreshableVersion="3" recordCount="500" xr:uid="{00000000-000A-0000-FFFF-FFFF03000000}">
  <cacheSource type="worksheet">
    <worksheetSource ref="A1:J501" sheet="Combined"/>
  </cacheSource>
  <cacheFields count="10">
    <cacheField name="EnrollmentID" numFmtId="0">
      <sharedItems count="500">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 v="E051"/>
        <s v="E052"/>
        <s v="E053"/>
        <s v="E054"/>
        <s v="E055"/>
        <s v="E056"/>
        <s v="E057"/>
        <s v="E058"/>
        <s v="E059"/>
        <s v="E060"/>
        <s v="E061"/>
        <s v="E062"/>
        <s v="E063"/>
        <s v="E064"/>
        <s v="E065"/>
        <s v="E066"/>
        <s v="E067"/>
        <s v="E068"/>
        <s v="E069"/>
        <s v="E070"/>
        <s v="E071"/>
        <s v="E072"/>
        <s v="E073"/>
        <s v="E074"/>
        <s v="E075"/>
        <s v="E076"/>
        <s v="E077"/>
        <s v="E078"/>
        <s v="E079"/>
        <s v="E080"/>
        <s v="E081"/>
        <s v="E082"/>
        <s v="E083"/>
        <s v="E084"/>
        <s v="E085"/>
        <s v="E086"/>
        <s v="E087"/>
        <s v="E088"/>
        <s v="E089"/>
        <s v="E090"/>
        <s v="E091"/>
        <s v="E092"/>
        <s v="E093"/>
        <s v="E094"/>
        <s v="E095"/>
        <s v="E096"/>
        <s v="E097"/>
        <s v="E098"/>
        <s v="E099"/>
        <s v="E100"/>
        <s v="E101"/>
        <s v="E102"/>
        <s v="E103"/>
        <s v="E104"/>
        <s v="E105"/>
        <s v="E106"/>
        <s v="E107"/>
        <s v="E108"/>
        <s v="E109"/>
        <s v="E110"/>
        <s v="E111"/>
        <s v="E112"/>
        <s v="E113"/>
        <s v="E114"/>
        <s v="E115"/>
        <s v="E116"/>
        <s v="E117"/>
        <s v="E118"/>
        <s v="E119"/>
        <s v="E120"/>
        <s v="E121"/>
        <s v="E122"/>
        <s v="E123"/>
        <s v="E124"/>
        <s v="E125"/>
        <s v="E126"/>
        <s v="E127"/>
        <s v="E128"/>
        <s v="E129"/>
        <s v="E130"/>
        <s v="E131"/>
        <s v="E132"/>
        <s v="E133"/>
        <s v="E134"/>
        <s v="E135"/>
        <s v="E136"/>
        <s v="E137"/>
        <s v="E138"/>
        <s v="E139"/>
        <s v="E140"/>
        <s v="E141"/>
        <s v="E142"/>
        <s v="E143"/>
        <s v="E144"/>
        <s v="E145"/>
        <s v="E146"/>
        <s v="E147"/>
        <s v="E148"/>
        <s v="E149"/>
        <s v="E150"/>
        <s v="E151"/>
        <s v="E152"/>
        <s v="E153"/>
        <s v="E154"/>
        <s v="E155"/>
        <s v="E156"/>
        <s v="E157"/>
        <s v="E158"/>
        <s v="E159"/>
        <s v="E160"/>
        <s v="E161"/>
        <s v="E162"/>
        <s v="E163"/>
        <s v="E164"/>
        <s v="E165"/>
        <s v="E166"/>
        <s v="E167"/>
        <s v="E168"/>
        <s v="E169"/>
        <s v="E170"/>
        <s v="E171"/>
        <s v="E172"/>
        <s v="E173"/>
        <s v="E174"/>
        <s v="E175"/>
        <s v="E176"/>
        <s v="E177"/>
        <s v="E178"/>
        <s v="E179"/>
        <s v="E180"/>
        <s v="E181"/>
        <s v="E182"/>
        <s v="E183"/>
        <s v="E184"/>
        <s v="E185"/>
        <s v="E186"/>
        <s v="E187"/>
        <s v="E188"/>
        <s v="E189"/>
        <s v="E190"/>
        <s v="E191"/>
        <s v="E192"/>
        <s v="E193"/>
        <s v="E194"/>
        <s v="E195"/>
        <s v="E196"/>
        <s v="E197"/>
        <s v="E198"/>
        <s v="E199"/>
        <s v="E200"/>
        <s v="E201"/>
        <s v="E202"/>
        <s v="E203"/>
        <s v="E204"/>
        <s v="E205"/>
        <s v="E206"/>
        <s v="E207"/>
        <s v="E208"/>
        <s v="E209"/>
        <s v="E210"/>
        <s v="E211"/>
        <s v="E212"/>
        <s v="E213"/>
        <s v="E214"/>
        <s v="E215"/>
        <s v="E216"/>
        <s v="E217"/>
        <s v="E218"/>
        <s v="E219"/>
        <s v="E220"/>
        <s v="E221"/>
        <s v="E222"/>
        <s v="E223"/>
        <s v="E224"/>
        <s v="E225"/>
        <s v="E226"/>
        <s v="E227"/>
        <s v="E228"/>
        <s v="E229"/>
        <s v="E230"/>
        <s v="E231"/>
        <s v="E232"/>
        <s v="E233"/>
        <s v="E234"/>
        <s v="E235"/>
        <s v="E236"/>
        <s v="E237"/>
        <s v="E238"/>
        <s v="E239"/>
        <s v="E240"/>
        <s v="E241"/>
        <s v="E242"/>
        <s v="E243"/>
        <s v="E244"/>
        <s v="E245"/>
        <s v="E246"/>
        <s v="E247"/>
        <s v="E248"/>
        <s v="E249"/>
        <s v="E250"/>
        <s v="E251"/>
        <s v="E252"/>
        <s v="E253"/>
        <s v="E254"/>
        <s v="E255"/>
        <s v="E256"/>
        <s v="E257"/>
        <s v="E258"/>
        <s v="E259"/>
        <s v="E260"/>
        <s v="E261"/>
        <s v="E262"/>
        <s v="E263"/>
        <s v="E264"/>
        <s v="E265"/>
        <s v="E266"/>
        <s v="E267"/>
        <s v="E268"/>
        <s v="E269"/>
        <s v="E270"/>
        <s v="E271"/>
        <s v="E272"/>
        <s v="E273"/>
        <s v="E274"/>
        <s v="E275"/>
        <s v="E276"/>
        <s v="E277"/>
        <s v="E278"/>
        <s v="E279"/>
        <s v="E280"/>
        <s v="E281"/>
        <s v="E282"/>
        <s v="E283"/>
        <s v="E284"/>
        <s v="E285"/>
        <s v="E286"/>
        <s v="E287"/>
        <s v="E288"/>
        <s v="E289"/>
        <s v="E290"/>
        <s v="E291"/>
        <s v="E292"/>
        <s v="E293"/>
        <s v="E294"/>
        <s v="E295"/>
        <s v="E296"/>
        <s v="E297"/>
        <s v="E298"/>
        <s v="E299"/>
        <s v="E300"/>
        <s v="E301"/>
        <s v="E302"/>
        <s v="E303"/>
        <s v="E304"/>
        <s v="E305"/>
        <s v="E306"/>
        <s v="E307"/>
        <s v="E308"/>
        <s v="E309"/>
        <s v="E310"/>
        <s v="E311"/>
        <s v="E312"/>
        <s v="E313"/>
        <s v="E314"/>
        <s v="E315"/>
        <s v="E316"/>
        <s v="E317"/>
        <s v="E318"/>
        <s v="E319"/>
        <s v="E320"/>
        <s v="E321"/>
        <s v="E322"/>
        <s v="E323"/>
        <s v="E324"/>
        <s v="E325"/>
        <s v="E326"/>
        <s v="E327"/>
        <s v="E328"/>
        <s v="E329"/>
        <s v="E330"/>
        <s v="E331"/>
        <s v="E332"/>
        <s v="E333"/>
        <s v="E334"/>
        <s v="E335"/>
        <s v="E336"/>
        <s v="E337"/>
        <s v="E338"/>
        <s v="E339"/>
        <s v="E340"/>
        <s v="E341"/>
        <s v="E342"/>
        <s v="E343"/>
        <s v="E344"/>
        <s v="E345"/>
        <s v="E346"/>
        <s v="E347"/>
        <s v="E348"/>
        <s v="E349"/>
        <s v="E350"/>
        <s v="E351"/>
        <s v="E352"/>
        <s v="E353"/>
        <s v="E354"/>
        <s v="E355"/>
        <s v="E356"/>
        <s v="E357"/>
        <s v="E358"/>
        <s v="E359"/>
        <s v="E360"/>
        <s v="E361"/>
        <s v="E362"/>
        <s v="E363"/>
        <s v="E364"/>
        <s v="E365"/>
        <s v="E366"/>
        <s v="E367"/>
        <s v="E368"/>
        <s v="E369"/>
        <s v="E370"/>
        <s v="E371"/>
        <s v="E372"/>
        <s v="E373"/>
        <s v="E374"/>
        <s v="E375"/>
        <s v="E376"/>
        <s v="E377"/>
        <s v="E378"/>
        <s v="E379"/>
        <s v="E380"/>
        <s v="E381"/>
        <s v="E382"/>
        <s v="E383"/>
        <s v="E384"/>
        <s v="E385"/>
        <s v="E386"/>
        <s v="E387"/>
        <s v="E388"/>
        <s v="E389"/>
        <s v="E390"/>
        <s v="E391"/>
        <s v="E392"/>
        <s v="E393"/>
        <s v="E394"/>
        <s v="E395"/>
        <s v="E396"/>
        <s v="E397"/>
        <s v="E398"/>
        <s v="E399"/>
        <s v="E400"/>
        <s v="E401"/>
        <s v="E402"/>
        <s v="E403"/>
        <s v="E404"/>
        <s v="E405"/>
        <s v="E406"/>
        <s v="E407"/>
        <s v="E408"/>
        <s v="E409"/>
        <s v="E410"/>
        <s v="E411"/>
        <s v="E412"/>
        <s v="E413"/>
        <s v="E414"/>
        <s v="E415"/>
        <s v="E416"/>
        <s v="E417"/>
        <s v="E418"/>
        <s v="E419"/>
        <s v="E420"/>
        <s v="E421"/>
        <s v="E422"/>
        <s v="E423"/>
        <s v="E424"/>
        <s v="E425"/>
        <s v="E426"/>
        <s v="E427"/>
        <s v="E428"/>
        <s v="E429"/>
        <s v="E430"/>
        <s v="E431"/>
        <s v="E432"/>
        <s v="E433"/>
        <s v="E434"/>
        <s v="E435"/>
        <s v="E436"/>
        <s v="E437"/>
        <s v="E438"/>
        <s v="E439"/>
        <s v="E440"/>
        <s v="E441"/>
        <s v="E442"/>
        <s v="E443"/>
        <s v="E444"/>
        <s v="E445"/>
        <s v="E446"/>
        <s v="E447"/>
        <s v="E448"/>
        <s v="E449"/>
        <s v="E450"/>
        <s v="E451"/>
        <s v="E452"/>
        <s v="E453"/>
        <s v="E454"/>
        <s v="E455"/>
        <s v="E456"/>
        <s v="E457"/>
        <s v="E458"/>
        <s v="E459"/>
        <s v="E460"/>
        <s v="E461"/>
        <s v="E462"/>
        <s v="E463"/>
        <s v="E464"/>
        <s v="E465"/>
        <s v="E466"/>
        <s v="E467"/>
        <s v="E468"/>
        <s v="E469"/>
        <s v="E470"/>
        <s v="E471"/>
        <s v="E472"/>
        <s v="E473"/>
        <s v="E474"/>
        <s v="E475"/>
        <s v="E476"/>
        <s v="E477"/>
        <s v="E478"/>
        <s v="E479"/>
        <s v="E480"/>
        <s v="E481"/>
        <s v="E482"/>
        <s v="E483"/>
        <s v="E484"/>
        <s v="E485"/>
        <s v="E486"/>
        <s v="E487"/>
        <s v="E488"/>
        <s v="E489"/>
        <s v="E490"/>
        <s v="E491"/>
        <s v="E492"/>
        <s v="E493"/>
        <s v="E494"/>
        <s v="E495"/>
        <s v="E496"/>
        <s v="E497"/>
        <s v="E498"/>
        <s v="E499"/>
        <s v="E500"/>
      </sharedItems>
    </cacheField>
    <cacheField name="StudentID" numFmtId="0">
      <sharedItems count="98">
        <s v="S086"/>
        <s v="S090"/>
        <s v="S061"/>
        <s v="S045"/>
        <s v="S004"/>
        <s v="S036"/>
        <s v="S083"/>
        <s v="S075"/>
        <s v="S077"/>
        <s v="S056"/>
        <s v="S050"/>
        <s v="S006"/>
        <s v="S047"/>
        <s v="S080"/>
        <s v="S065"/>
        <s v="S052"/>
        <s v="S025"/>
        <s v="S079"/>
        <s v="S071"/>
        <s v="S027"/>
        <s v="S060"/>
        <s v="S066"/>
        <s v="S037"/>
        <s v="S012"/>
        <s v="S026"/>
        <s v="S032"/>
        <s v="S059"/>
        <s v="S092"/>
        <s v="S100"/>
        <s v="S072"/>
        <s v="S018"/>
        <s v="S097"/>
        <s v="S058"/>
        <s v="S099"/>
        <s v="S031"/>
        <s v="S070"/>
        <s v="S030"/>
        <s v="S009"/>
        <s v="S098"/>
        <s v="S001"/>
        <s v="S054"/>
        <s v="S063"/>
        <s v="S017"/>
        <s v="S051"/>
        <s v="S011"/>
        <s v="S024"/>
        <s v="S042"/>
        <s v="S044"/>
        <s v="S033"/>
        <s v="S096"/>
        <s v="S029"/>
        <s v="S073"/>
        <s v="S014"/>
        <s v="S085"/>
        <s v="S002"/>
        <s v="S034"/>
        <s v="S041"/>
        <s v="S093"/>
        <s v="S013"/>
        <s v="S091"/>
        <s v="S062"/>
        <s v="S007"/>
        <s v="S074"/>
        <s v="S016"/>
        <s v="S057"/>
        <s v="S040"/>
        <s v="S023"/>
        <s v="S038"/>
        <s v="S088"/>
        <s v="S055"/>
        <s v="S010"/>
        <s v="S035"/>
        <s v="S082"/>
        <s v="S053"/>
        <s v="S015"/>
        <s v="S020"/>
        <s v="S087"/>
        <s v="S081"/>
        <s v="S089"/>
        <s v="S048"/>
        <s v="S068"/>
        <s v="S022"/>
        <s v="S039"/>
        <s v="S094"/>
        <s v="S064"/>
        <s v="S069"/>
        <s v="S008"/>
        <s v="S043"/>
        <s v="S003"/>
        <s v="S049"/>
        <s v="S076"/>
        <s v="S078"/>
        <s v="S019"/>
        <s v="S021"/>
        <s v="S067"/>
        <s v="S084"/>
        <s v="S095"/>
        <s v="S005"/>
      </sharedItems>
    </cacheField>
    <cacheField name="CourseID" numFmtId="0">
      <sharedItems count="10">
        <s v="C004"/>
        <s v="C002"/>
        <s v="C005"/>
        <s v="C009"/>
        <s v="C007"/>
        <s v="C010"/>
        <s v="C006"/>
        <s v="C001"/>
        <s v="C008"/>
        <s v="C003"/>
      </sharedItems>
    </cacheField>
    <cacheField name="Average GPA" numFmtId="0">
      <sharedItems containsSemiMixedTypes="0" containsString="0" containsNumber="1" containsInteger="1" minValue="0" maxValue="10" count="5">
        <n v="6"/>
        <n v="4"/>
        <n v="8"/>
        <n v="10"/>
        <n v="0"/>
      </sharedItems>
    </cacheField>
    <cacheField name="Semester" numFmtId="0">
      <sharedItems count="4">
        <s v="Sem 2 2024"/>
        <s v="Sem 1 2024"/>
        <s v="Sem 2 2025"/>
        <s v="Sem 1 2025"/>
      </sharedItems>
    </cacheField>
    <cacheField name="StudentName" numFmtId="0">
      <sharedItems count="15">
        <s v="Robert Taylor"/>
        <s v="Amit Kumar"/>
        <s v="Sara Khan"/>
        <s v="Sophia Wilson"/>
        <s v="Ankit Sharma"/>
        <s v="James Clark"/>
        <s v="Chris Evans"/>
        <s v="Priya Verma"/>
        <s v="Emily Davis"/>
        <s v="Nisha Gupta"/>
        <s v="Sneha Patil"/>
        <s v="Michael Brown"/>
        <s v="Raj Mehta"/>
        <s v="John Smith"/>
        <s v="Daniel Lee"/>
      </sharedItems>
    </cacheField>
    <cacheField name="Gender" numFmtId="0">
      <sharedItems count="2">
        <s v="M"/>
        <s v="F"/>
      </sharedItems>
    </cacheField>
    <cacheField name="CourseName" numFmtId="0">
      <sharedItems count="10">
        <s v="Circuits"/>
        <s v="DBMS"/>
        <s v="AI &amp; ML"/>
        <s v="Marketing"/>
        <s v="Digital Logic"/>
        <s v="Finance"/>
        <s v="Fluid Mechanics"/>
        <s v="Data Structures"/>
        <s v="Structural Analysis"/>
        <s v="Thermodynamics"/>
      </sharedItems>
    </cacheField>
    <cacheField name="Department Name" numFmtId="0">
      <sharedItems count="5">
        <s v="Mechanical"/>
        <s v="Civil"/>
        <s v="Management"/>
        <s v="Electronics"/>
        <s v="Computer Sci"/>
      </sharedItems>
    </cacheField>
    <cacheField name="Credit" numFmtId="0">
      <sharedItems containsSemiMixedTypes="0" containsString="0" containsNumber="1" containsInteger="1" minValue="0" maxValue="4" count="2">
        <n v="4"/>
        <n v="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x v="0"/>
  </r>
  <r>
    <x v="1"/>
    <x v="1"/>
    <x v="1"/>
    <x v="1"/>
    <x v="1"/>
    <x v="1"/>
    <x v="0"/>
    <x v="1"/>
  </r>
  <r>
    <x v="2"/>
    <x v="2"/>
    <x v="0"/>
    <x v="2"/>
    <x v="2"/>
    <x v="2"/>
    <x v="0"/>
    <x v="0"/>
  </r>
  <r>
    <x v="3"/>
    <x v="3"/>
    <x v="2"/>
    <x v="2"/>
    <x v="0"/>
    <x v="3"/>
    <x v="1"/>
    <x v="2"/>
  </r>
  <r>
    <x v="4"/>
    <x v="4"/>
    <x v="0"/>
    <x v="1"/>
    <x v="3"/>
    <x v="4"/>
    <x v="0"/>
    <x v="0"/>
  </r>
  <r>
    <x v="5"/>
    <x v="5"/>
    <x v="1"/>
    <x v="0"/>
    <x v="3"/>
    <x v="5"/>
    <x v="0"/>
    <x v="1"/>
  </r>
  <r>
    <x v="6"/>
    <x v="6"/>
    <x v="3"/>
    <x v="1"/>
    <x v="3"/>
    <x v="6"/>
    <x v="1"/>
    <x v="3"/>
  </r>
  <r>
    <x v="7"/>
    <x v="4"/>
    <x v="1"/>
    <x v="0"/>
    <x v="0"/>
    <x v="4"/>
    <x v="0"/>
    <x v="1"/>
  </r>
  <r>
    <x v="8"/>
    <x v="7"/>
    <x v="2"/>
    <x v="3"/>
    <x v="1"/>
    <x v="7"/>
    <x v="1"/>
    <x v="2"/>
  </r>
  <r>
    <x v="9"/>
    <x v="8"/>
    <x v="4"/>
    <x v="0"/>
    <x v="3"/>
    <x v="2"/>
    <x v="0"/>
    <x v="4"/>
  </r>
  <r>
    <x v="10"/>
    <x v="9"/>
    <x v="5"/>
    <x v="4"/>
    <x v="1"/>
    <x v="7"/>
    <x v="0"/>
    <x v="5"/>
  </r>
  <r>
    <x v="11"/>
    <x v="10"/>
    <x v="5"/>
    <x v="2"/>
    <x v="3"/>
    <x v="8"/>
    <x v="0"/>
    <x v="5"/>
  </r>
  <r>
    <x v="12"/>
    <x v="11"/>
    <x v="4"/>
    <x v="3"/>
    <x v="0"/>
    <x v="2"/>
    <x v="0"/>
    <x v="4"/>
  </r>
  <r>
    <x v="13"/>
    <x v="12"/>
    <x v="4"/>
    <x v="3"/>
    <x v="3"/>
    <x v="9"/>
    <x v="1"/>
    <x v="4"/>
  </r>
  <r>
    <x v="14"/>
    <x v="13"/>
    <x v="6"/>
    <x v="3"/>
    <x v="3"/>
    <x v="10"/>
    <x v="1"/>
    <x v="6"/>
  </r>
  <r>
    <x v="15"/>
    <x v="14"/>
    <x v="2"/>
    <x v="1"/>
    <x v="3"/>
    <x v="11"/>
    <x v="1"/>
    <x v="2"/>
  </r>
  <r>
    <x v="16"/>
    <x v="15"/>
    <x v="2"/>
    <x v="4"/>
    <x v="0"/>
    <x v="5"/>
    <x v="0"/>
    <x v="2"/>
  </r>
  <r>
    <x v="17"/>
    <x v="16"/>
    <x v="4"/>
    <x v="1"/>
    <x v="0"/>
    <x v="2"/>
    <x v="1"/>
    <x v="4"/>
  </r>
  <r>
    <x v="18"/>
    <x v="17"/>
    <x v="5"/>
    <x v="0"/>
    <x v="2"/>
    <x v="12"/>
    <x v="0"/>
    <x v="5"/>
  </r>
  <r>
    <x v="19"/>
    <x v="18"/>
    <x v="7"/>
    <x v="0"/>
    <x v="3"/>
    <x v="4"/>
    <x v="1"/>
    <x v="7"/>
  </r>
  <r>
    <x v="20"/>
    <x v="19"/>
    <x v="4"/>
    <x v="4"/>
    <x v="3"/>
    <x v="2"/>
    <x v="1"/>
    <x v="4"/>
  </r>
  <r>
    <x v="21"/>
    <x v="20"/>
    <x v="8"/>
    <x v="1"/>
    <x v="0"/>
    <x v="10"/>
    <x v="0"/>
    <x v="8"/>
  </r>
  <r>
    <x v="22"/>
    <x v="21"/>
    <x v="8"/>
    <x v="2"/>
    <x v="1"/>
    <x v="5"/>
    <x v="0"/>
    <x v="8"/>
  </r>
  <r>
    <x v="23"/>
    <x v="22"/>
    <x v="3"/>
    <x v="4"/>
    <x v="3"/>
    <x v="12"/>
    <x v="0"/>
    <x v="3"/>
  </r>
  <r>
    <x v="24"/>
    <x v="23"/>
    <x v="0"/>
    <x v="0"/>
    <x v="0"/>
    <x v="8"/>
    <x v="0"/>
    <x v="0"/>
  </r>
  <r>
    <x v="25"/>
    <x v="24"/>
    <x v="9"/>
    <x v="3"/>
    <x v="1"/>
    <x v="13"/>
    <x v="0"/>
    <x v="9"/>
  </r>
  <r>
    <x v="26"/>
    <x v="25"/>
    <x v="8"/>
    <x v="4"/>
    <x v="1"/>
    <x v="3"/>
    <x v="0"/>
    <x v="8"/>
  </r>
  <r>
    <x v="27"/>
    <x v="26"/>
    <x v="4"/>
    <x v="4"/>
    <x v="0"/>
    <x v="6"/>
    <x v="1"/>
    <x v="4"/>
  </r>
  <r>
    <x v="28"/>
    <x v="27"/>
    <x v="4"/>
    <x v="1"/>
    <x v="2"/>
    <x v="4"/>
    <x v="0"/>
    <x v="4"/>
  </r>
  <r>
    <x v="29"/>
    <x v="25"/>
    <x v="9"/>
    <x v="3"/>
    <x v="1"/>
    <x v="3"/>
    <x v="0"/>
    <x v="9"/>
  </r>
  <r>
    <x v="30"/>
    <x v="28"/>
    <x v="4"/>
    <x v="2"/>
    <x v="0"/>
    <x v="4"/>
    <x v="0"/>
    <x v="4"/>
  </r>
  <r>
    <x v="31"/>
    <x v="1"/>
    <x v="3"/>
    <x v="1"/>
    <x v="1"/>
    <x v="1"/>
    <x v="0"/>
    <x v="3"/>
  </r>
  <r>
    <x v="32"/>
    <x v="29"/>
    <x v="0"/>
    <x v="3"/>
    <x v="2"/>
    <x v="8"/>
    <x v="0"/>
    <x v="0"/>
  </r>
  <r>
    <x v="33"/>
    <x v="30"/>
    <x v="8"/>
    <x v="4"/>
    <x v="3"/>
    <x v="1"/>
    <x v="0"/>
    <x v="8"/>
  </r>
  <r>
    <x v="34"/>
    <x v="31"/>
    <x v="8"/>
    <x v="4"/>
    <x v="2"/>
    <x v="9"/>
    <x v="0"/>
    <x v="8"/>
  </r>
  <r>
    <x v="35"/>
    <x v="18"/>
    <x v="8"/>
    <x v="2"/>
    <x v="2"/>
    <x v="4"/>
    <x v="1"/>
    <x v="8"/>
  </r>
  <r>
    <x v="36"/>
    <x v="32"/>
    <x v="2"/>
    <x v="2"/>
    <x v="3"/>
    <x v="9"/>
    <x v="0"/>
    <x v="2"/>
  </r>
  <r>
    <x v="37"/>
    <x v="33"/>
    <x v="3"/>
    <x v="1"/>
    <x v="0"/>
    <x v="3"/>
    <x v="0"/>
    <x v="3"/>
  </r>
  <r>
    <x v="38"/>
    <x v="5"/>
    <x v="8"/>
    <x v="3"/>
    <x v="3"/>
    <x v="5"/>
    <x v="0"/>
    <x v="8"/>
  </r>
  <r>
    <x v="39"/>
    <x v="34"/>
    <x v="2"/>
    <x v="0"/>
    <x v="3"/>
    <x v="2"/>
    <x v="1"/>
    <x v="2"/>
  </r>
  <r>
    <x v="40"/>
    <x v="35"/>
    <x v="1"/>
    <x v="2"/>
    <x v="0"/>
    <x v="12"/>
    <x v="0"/>
    <x v="1"/>
  </r>
  <r>
    <x v="41"/>
    <x v="36"/>
    <x v="4"/>
    <x v="2"/>
    <x v="0"/>
    <x v="14"/>
    <x v="1"/>
    <x v="4"/>
  </r>
  <r>
    <x v="42"/>
    <x v="37"/>
    <x v="4"/>
    <x v="1"/>
    <x v="3"/>
    <x v="14"/>
    <x v="1"/>
    <x v="4"/>
  </r>
  <r>
    <x v="43"/>
    <x v="35"/>
    <x v="8"/>
    <x v="1"/>
    <x v="1"/>
    <x v="12"/>
    <x v="0"/>
    <x v="8"/>
  </r>
  <r>
    <x v="44"/>
    <x v="19"/>
    <x v="4"/>
    <x v="1"/>
    <x v="1"/>
    <x v="2"/>
    <x v="1"/>
    <x v="4"/>
  </r>
  <r>
    <x v="45"/>
    <x v="38"/>
    <x v="5"/>
    <x v="1"/>
    <x v="2"/>
    <x v="5"/>
    <x v="1"/>
    <x v="5"/>
  </r>
  <r>
    <x v="46"/>
    <x v="39"/>
    <x v="6"/>
    <x v="0"/>
    <x v="2"/>
    <x v="9"/>
    <x v="0"/>
    <x v="6"/>
  </r>
  <r>
    <x v="47"/>
    <x v="40"/>
    <x v="3"/>
    <x v="4"/>
    <x v="0"/>
    <x v="10"/>
    <x v="0"/>
    <x v="3"/>
  </r>
  <r>
    <x v="48"/>
    <x v="41"/>
    <x v="0"/>
    <x v="0"/>
    <x v="2"/>
    <x v="7"/>
    <x v="0"/>
    <x v="0"/>
  </r>
  <r>
    <x v="49"/>
    <x v="41"/>
    <x v="7"/>
    <x v="1"/>
    <x v="3"/>
    <x v="7"/>
    <x v="0"/>
    <x v="7"/>
  </r>
  <r>
    <x v="50"/>
    <x v="0"/>
    <x v="4"/>
    <x v="2"/>
    <x v="2"/>
    <x v="0"/>
    <x v="0"/>
    <x v="4"/>
  </r>
  <r>
    <x v="51"/>
    <x v="42"/>
    <x v="5"/>
    <x v="4"/>
    <x v="1"/>
    <x v="11"/>
    <x v="1"/>
    <x v="5"/>
  </r>
  <r>
    <x v="52"/>
    <x v="43"/>
    <x v="5"/>
    <x v="4"/>
    <x v="1"/>
    <x v="7"/>
    <x v="0"/>
    <x v="5"/>
  </r>
  <r>
    <x v="53"/>
    <x v="44"/>
    <x v="4"/>
    <x v="2"/>
    <x v="2"/>
    <x v="12"/>
    <x v="1"/>
    <x v="4"/>
  </r>
  <r>
    <x v="54"/>
    <x v="45"/>
    <x v="7"/>
    <x v="0"/>
    <x v="2"/>
    <x v="5"/>
    <x v="1"/>
    <x v="7"/>
  </r>
  <r>
    <x v="55"/>
    <x v="46"/>
    <x v="0"/>
    <x v="1"/>
    <x v="3"/>
    <x v="6"/>
    <x v="1"/>
    <x v="0"/>
  </r>
  <r>
    <x v="56"/>
    <x v="47"/>
    <x v="4"/>
    <x v="0"/>
    <x v="2"/>
    <x v="8"/>
    <x v="0"/>
    <x v="4"/>
  </r>
  <r>
    <x v="57"/>
    <x v="48"/>
    <x v="1"/>
    <x v="1"/>
    <x v="1"/>
    <x v="14"/>
    <x v="1"/>
    <x v="1"/>
  </r>
  <r>
    <x v="58"/>
    <x v="49"/>
    <x v="3"/>
    <x v="3"/>
    <x v="3"/>
    <x v="5"/>
    <x v="1"/>
    <x v="3"/>
  </r>
  <r>
    <x v="59"/>
    <x v="50"/>
    <x v="1"/>
    <x v="3"/>
    <x v="1"/>
    <x v="3"/>
    <x v="0"/>
    <x v="1"/>
  </r>
  <r>
    <x v="60"/>
    <x v="25"/>
    <x v="0"/>
    <x v="3"/>
    <x v="0"/>
    <x v="3"/>
    <x v="0"/>
    <x v="0"/>
  </r>
  <r>
    <x v="61"/>
    <x v="34"/>
    <x v="9"/>
    <x v="1"/>
    <x v="1"/>
    <x v="2"/>
    <x v="1"/>
    <x v="9"/>
  </r>
  <r>
    <x v="62"/>
    <x v="51"/>
    <x v="0"/>
    <x v="1"/>
    <x v="3"/>
    <x v="12"/>
    <x v="0"/>
    <x v="0"/>
  </r>
  <r>
    <x v="63"/>
    <x v="33"/>
    <x v="6"/>
    <x v="2"/>
    <x v="1"/>
    <x v="3"/>
    <x v="0"/>
    <x v="6"/>
  </r>
  <r>
    <x v="64"/>
    <x v="28"/>
    <x v="9"/>
    <x v="0"/>
    <x v="1"/>
    <x v="4"/>
    <x v="0"/>
    <x v="9"/>
  </r>
  <r>
    <x v="65"/>
    <x v="7"/>
    <x v="7"/>
    <x v="0"/>
    <x v="2"/>
    <x v="7"/>
    <x v="1"/>
    <x v="7"/>
  </r>
  <r>
    <x v="66"/>
    <x v="43"/>
    <x v="0"/>
    <x v="3"/>
    <x v="0"/>
    <x v="7"/>
    <x v="0"/>
    <x v="0"/>
  </r>
  <r>
    <x v="67"/>
    <x v="52"/>
    <x v="2"/>
    <x v="4"/>
    <x v="1"/>
    <x v="10"/>
    <x v="0"/>
    <x v="2"/>
  </r>
  <r>
    <x v="68"/>
    <x v="51"/>
    <x v="7"/>
    <x v="0"/>
    <x v="2"/>
    <x v="12"/>
    <x v="0"/>
    <x v="7"/>
  </r>
  <r>
    <x v="69"/>
    <x v="53"/>
    <x v="6"/>
    <x v="3"/>
    <x v="3"/>
    <x v="7"/>
    <x v="0"/>
    <x v="6"/>
  </r>
  <r>
    <x v="70"/>
    <x v="54"/>
    <x v="4"/>
    <x v="1"/>
    <x v="1"/>
    <x v="10"/>
    <x v="0"/>
    <x v="4"/>
  </r>
  <r>
    <x v="71"/>
    <x v="9"/>
    <x v="6"/>
    <x v="1"/>
    <x v="0"/>
    <x v="7"/>
    <x v="0"/>
    <x v="6"/>
  </r>
  <r>
    <x v="72"/>
    <x v="9"/>
    <x v="9"/>
    <x v="4"/>
    <x v="3"/>
    <x v="7"/>
    <x v="0"/>
    <x v="9"/>
  </r>
  <r>
    <x v="73"/>
    <x v="17"/>
    <x v="3"/>
    <x v="1"/>
    <x v="2"/>
    <x v="12"/>
    <x v="0"/>
    <x v="3"/>
  </r>
  <r>
    <x v="74"/>
    <x v="9"/>
    <x v="5"/>
    <x v="0"/>
    <x v="3"/>
    <x v="7"/>
    <x v="0"/>
    <x v="5"/>
  </r>
  <r>
    <x v="75"/>
    <x v="25"/>
    <x v="1"/>
    <x v="0"/>
    <x v="2"/>
    <x v="3"/>
    <x v="0"/>
    <x v="1"/>
  </r>
  <r>
    <x v="76"/>
    <x v="25"/>
    <x v="8"/>
    <x v="4"/>
    <x v="2"/>
    <x v="3"/>
    <x v="0"/>
    <x v="8"/>
  </r>
  <r>
    <x v="77"/>
    <x v="47"/>
    <x v="7"/>
    <x v="1"/>
    <x v="3"/>
    <x v="8"/>
    <x v="0"/>
    <x v="7"/>
  </r>
  <r>
    <x v="78"/>
    <x v="45"/>
    <x v="8"/>
    <x v="2"/>
    <x v="3"/>
    <x v="5"/>
    <x v="1"/>
    <x v="8"/>
  </r>
  <r>
    <x v="79"/>
    <x v="55"/>
    <x v="6"/>
    <x v="0"/>
    <x v="3"/>
    <x v="0"/>
    <x v="1"/>
    <x v="6"/>
  </r>
  <r>
    <x v="80"/>
    <x v="29"/>
    <x v="7"/>
    <x v="4"/>
    <x v="0"/>
    <x v="8"/>
    <x v="0"/>
    <x v="7"/>
  </r>
  <r>
    <x v="81"/>
    <x v="44"/>
    <x v="0"/>
    <x v="1"/>
    <x v="2"/>
    <x v="12"/>
    <x v="1"/>
    <x v="0"/>
  </r>
  <r>
    <x v="82"/>
    <x v="29"/>
    <x v="0"/>
    <x v="1"/>
    <x v="2"/>
    <x v="8"/>
    <x v="0"/>
    <x v="0"/>
  </r>
  <r>
    <x v="83"/>
    <x v="32"/>
    <x v="7"/>
    <x v="3"/>
    <x v="3"/>
    <x v="9"/>
    <x v="0"/>
    <x v="7"/>
  </r>
  <r>
    <x v="84"/>
    <x v="50"/>
    <x v="4"/>
    <x v="2"/>
    <x v="3"/>
    <x v="3"/>
    <x v="0"/>
    <x v="4"/>
  </r>
  <r>
    <x v="85"/>
    <x v="53"/>
    <x v="5"/>
    <x v="0"/>
    <x v="2"/>
    <x v="7"/>
    <x v="0"/>
    <x v="5"/>
  </r>
  <r>
    <x v="86"/>
    <x v="18"/>
    <x v="3"/>
    <x v="0"/>
    <x v="2"/>
    <x v="4"/>
    <x v="1"/>
    <x v="3"/>
  </r>
  <r>
    <x v="87"/>
    <x v="49"/>
    <x v="3"/>
    <x v="0"/>
    <x v="3"/>
    <x v="5"/>
    <x v="1"/>
    <x v="3"/>
  </r>
  <r>
    <x v="88"/>
    <x v="1"/>
    <x v="8"/>
    <x v="0"/>
    <x v="3"/>
    <x v="1"/>
    <x v="0"/>
    <x v="8"/>
  </r>
  <r>
    <x v="89"/>
    <x v="48"/>
    <x v="0"/>
    <x v="3"/>
    <x v="0"/>
    <x v="14"/>
    <x v="1"/>
    <x v="0"/>
  </r>
  <r>
    <x v="90"/>
    <x v="56"/>
    <x v="1"/>
    <x v="4"/>
    <x v="0"/>
    <x v="4"/>
    <x v="0"/>
    <x v="1"/>
  </r>
  <r>
    <x v="91"/>
    <x v="16"/>
    <x v="0"/>
    <x v="1"/>
    <x v="3"/>
    <x v="2"/>
    <x v="1"/>
    <x v="0"/>
  </r>
  <r>
    <x v="92"/>
    <x v="57"/>
    <x v="5"/>
    <x v="4"/>
    <x v="3"/>
    <x v="8"/>
    <x v="0"/>
    <x v="5"/>
  </r>
  <r>
    <x v="93"/>
    <x v="58"/>
    <x v="0"/>
    <x v="0"/>
    <x v="0"/>
    <x v="8"/>
    <x v="1"/>
    <x v="0"/>
  </r>
  <r>
    <x v="94"/>
    <x v="12"/>
    <x v="9"/>
    <x v="0"/>
    <x v="1"/>
    <x v="9"/>
    <x v="1"/>
    <x v="9"/>
  </r>
  <r>
    <x v="95"/>
    <x v="59"/>
    <x v="3"/>
    <x v="2"/>
    <x v="3"/>
    <x v="6"/>
    <x v="1"/>
    <x v="3"/>
  </r>
  <r>
    <x v="96"/>
    <x v="11"/>
    <x v="7"/>
    <x v="4"/>
    <x v="3"/>
    <x v="2"/>
    <x v="0"/>
    <x v="7"/>
  </r>
  <r>
    <x v="97"/>
    <x v="1"/>
    <x v="9"/>
    <x v="1"/>
    <x v="1"/>
    <x v="1"/>
    <x v="0"/>
    <x v="9"/>
  </r>
  <r>
    <x v="98"/>
    <x v="54"/>
    <x v="5"/>
    <x v="0"/>
    <x v="2"/>
    <x v="10"/>
    <x v="0"/>
    <x v="5"/>
  </r>
  <r>
    <x v="99"/>
    <x v="60"/>
    <x v="8"/>
    <x v="0"/>
    <x v="0"/>
    <x v="10"/>
    <x v="0"/>
    <x v="8"/>
  </r>
  <r>
    <x v="100"/>
    <x v="61"/>
    <x v="2"/>
    <x v="1"/>
    <x v="1"/>
    <x v="0"/>
    <x v="0"/>
    <x v="2"/>
  </r>
  <r>
    <x v="101"/>
    <x v="37"/>
    <x v="4"/>
    <x v="1"/>
    <x v="1"/>
    <x v="14"/>
    <x v="1"/>
    <x v="4"/>
  </r>
  <r>
    <x v="102"/>
    <x v="62"/>
    <x v="7"/>
    <x v="2"/>
    <x v="0"/>
    <x v="7"/>
    <x v="0"/>
    <x v="7"/>
  </r>
  <r>
    <x v="103"/>
    <x v="51"/>
    <x v="2"/>
    <x v="3"/>
    <x v="0"/>
    <x v="12"/>
    <x v="0"/>
    <x v="2"/>
  </r>
  <r>
    <x v="104"/>
    <x v="63"/>
    <x v="3"/>
    <x v="1"/>
    <x v="0"/>
    <x v="3"/>
    <x v="0"/>
    <x v="3"/>
  </r>
  <r>
    <x v="105"/>
    <x v="28"/>
    <x v="3"/>
    <x v="1"/>
    <x v="2"/>
    <x v="4"/>
    <x v="0"/>
    <x v="3"/>
  </r>
  <r>
    <x v="106"/>
    <x v="64"/>
    <x v="2"/>
    <x v="4"/>
    <x v="2"/>
    <x v="2"/>
    <x v="1"/>
    <x v="2"/>
  </r>
  <r>
    <x v="107"/>
    <x v="65"/>
    <x v="5"/>
    <x v="4"/>
    <x v="1"/>
    <x v="5"/>
    <x v="1"/>
    <x v="5"/>
  </r>
  <r>
    <x v="108"/>
    <x v="17"/>
    <x v="1"/>
    <x v="2"/>
    <x v="0"/>
    <x v="12"/>
    <x v="0"/>
    <x v="1"/>
  </r>
  <r>
    <x v="109"/>
    <x v="55"/>
    <x v="1"/>
    <x v="2"/>
    <x v="0"/>
    <x v="0"/>
    <x v="1"/>
    <x v="1"/>
  </r>
  <r>
    <x v="110"/>
    <x v="66"/>
    <x v="3"/>
    <x v="3"/>
    <x v="0"/>
    <x v="0"/>
    <x v="0"/>
    <x v="3"/>
  </r>
  <r>
    <x v="111"/>
    <x v="39"/>
    <x v="4"/>
    <x v="1"/>
    <x v="2"/>
    <x v="9"/>
    <x v="0"/>
    <x v="4"/>
  </r>
  <r>
    <x v="112"/>
    <x v="67"/>
    <x v="7"/>
    <x v="2"/>
    <x v="3"/>
    <x v="14"/>
    <x v="0"/>
    <x v="7"/>
  </r>
  <r>
    <x v="113"/>
    <x v="59"/>
    <x v="2"/>
    <x v="1"/>
    <x v="1"/>
    <x v="6"/>
    <x v="1"/>
    <x v="2"/>
  </r>
  <r>
    <x v="114"/>
    <x v="68"/>
    <x v="0"/>
    <x v="0"/>
    <x v="0"/>
    <x v="5"/>
    <x v="0"/>
    <x v="0"/>
  </r>
  <r>
    <x v="115"/>
    <x v="69"/>
    <x v="1"/>
    <x v="4"/>
    <x v="0"/>
    <x v="14"/>
    <x v="1"/>
    <x v="1"/>
  </r>
  <r>
    <x v="116"/>
    <x v="6"/>
    <x v="9"/>
    <x v="0"/>
    <x v="0"/>
    <x v="6"/>
    <x v="1"/>
    <x v="9"/>
  </r>
  <r>
    <x v="117"/>
    <x v="70"/>
    <x v="7"/>
    <x v="2"/>
    <x v="3"/>
    <x v="2"/>
    <x v="0"/>
    <x v="7"/>
  </r>
  <r>
    <x v="118"/>
    <x v="8"/>
    <x v="5"/>
    <x v="0"/>
    <x v="2"/>
    <x v="2"/>
    <x v="0"/>
    <x v="5"/>
  </r>
  <r>
    <x v="119"/>
    <x v="63"/>
    <x v="8"/>
    <x v="0"/>
    <x v="2"/>
    <x v="3"/>
    <x v="0"/>
    <x v="8"/>
  </r>
  <r>
    <x v="120"/>
    <x v="71"/>
    <x v="3"/>
    <x v="4"/>
    <x v="2"/>
    <x v="4"/>
    <x v="1"/>
    <x v="3"/>
  </r>
  <r>
    <x v="121"/>
    <x v="64"/>
    <x v="1"/>
    <x v="4"/>
    <x v="1"/>
    <x v="2"/>
    <x v="1"/>
    <x v="1"/>
  </r>
  <r>
    <x v="122"/>
    <x v="9"/>
    <x v="6"/>
    <x v="4"/>
    <x v="3"/>
    <x v="7"/>
    <x v="0"/>
    <x v="6"/>
  </r>
  <r>
    <x v="123"/>
    <x v="4"/>
    <x v="1"/>
    <x v="2"/>
    <x v="1"/>
    <x v="4"/>
    <x v="0"/>
    <x v="1"/>
  </r>
  <r>
    <x v="124"/>
    <x v="38"/>
    <x v="2"/>
    <x v="4"/>
    <x v="1"/>
    <x v="5"/>
    <x v="1"/>
    <x v="2"/>
  </r>
  <r>
    <x v="125"/>
    <x v="38"/>
    <x v="9"/>
    <x v="1"/>
    <x v="2"/>
    <x v="5"/>
    <x v="1"/>
    <x v="9"/>
  </r>
  <r>
    <x v="126"/>
    <x v="5"/>
    <x v="9"/>
    <x v="4"/>
    <x v="2"/>
    <x v="5"/>
    <x v="0"/>
    <x v="9"/>
  </r>
  <r>
    <x v="127"/>
    <x v="72"/>
    <x v="8"/>
    <x v="3"/>
    <x v="2"/>
    <x v="0"/>
    <x v="0"/>
    <x v="8"/>
  </r>
  <r>
    <x v="128"/>
    <x v="3"/>
    <x v="4"/>
    <x v="0"/>
    <x v="3"/>
    <x v="3"/>
    <x v="1"/>
    <x v="4"/>
  </r>
  <r>
    <x v="129"/>
    <x v="0"/>
    <x v="1"/>
    <x v="2"/>
    <x v="3"/>
    <x v="0"/>
    <x v="0"/>
    <x v="1"/>
  </r>
  <r>
    <x v="130"/>
    <x v="73"/>
    <x v="8"/>
    <x v="0"/>
    <x v="2"/>
    <x v="8"/>
    <x v="0"/>
    <x v="8"/>
  </r>
  <r>
    <x v="131"/>
    <x v="38"/>
    <x v="3"/>
    <x v="3"/>
    <x v="2"/>
    <x v="5"/>
    <x v="1"/>
    <x v="3"/>
  </r>
  <r>
    <x v="132"/>
    <x v="23"/>
    <x v="6"/>
    <x v="0"/>
    <x v="3"/>
    <x v="8"/>
    <x v="0"/>
    <x v="6"/>
  </r>
  <r>
    <x v="133"/>
    <x v="74"/>
    <x v="4"/>
    <x v="4"/>
    <x v="1"/>
    <x v="14"/>
    <x v="1"/>
    <x v="4"/>
  </r>
  <r>
    <x v="134"/>
    <x v="53"/>
    <x v="3"/>
    <x v="1"/>
    <x v="2"/>
    <x v="7"/>
    <x v="0"/>
    <x v="3"/>
  </r>
  <r>
    <x v="135"/>
    <x v="61"/>
    <x v="0"/>
    <x v="4"/>
    <x v="3"/>
    <x v="0"/>
    <x v="0"/>
    <x v="0"/>
  </r>
  <r>
    <x v="136"/>
    <x v="13"/>
    <x v="8"/>
    <x v="1"/>
    <x v="1"/>
    <x v="10"/>
    <x v="1"/>
    <x v="8"/>
  </r>
  <r>
    <x v="137"/>
    <x v="19"/>
    <x v="2"/>
    <x v="4"/>
    <x v="0"/>
    <x v="2"/>
    <x v="1"/>
    <x v="2"/>
  </r>
  <r>
    <x v="138"/>
    <x v="22"/>
    <x v="8"/>
    <x v="1"/>
    <x v="1"/>
    <x v="12"/>
    <x v="0"/>
    <x v="8"/>
  </r>
  <r>
    <x v="139"/>
    <x v="4"/>
    <x v="5"/>
    <x v="2"/>
    <x v="0"/>
    <x v="4"/>
    <x v="0"/>
    <x v="5"/>
  </r>
  <r>
    <x v="140"/>
    <x v="65"/>
    <x v="3"/>
    <x v="3"/>
    <x v="2"/>
    <x v="5"/>
    <x v="1"/>
    <x v="3"/>
  </r>
  <r>
    <x v="141"/>
    <x v="23"/>
    <x v="0"/>
    <x v="3"/>
    <x v="2"/>
    <x v="8"/>
    <x v="0"/>
    <x v="0"/>
  </r>
  <r>
    <x v="142"/>
    <x v="63"/>
    <x v="9"/>
    <x v="1"/>
    <x v="3"/>
    <x v="3"/>
    <x v="0"/>
    <x v="9"/>
  </r>
  <r>
    <x v="143"/>
    <x v="21"/>
    <x v="2"/>
    <x v="1"/>
    <x v="2"/>
    <x v="5"/>
    <x v="0"/>
    <x v="2"/>
  </r>
  <r>
    <x v="144"/>
    <x v="2"/>
    <x v="0"/>
    <x v="1"/>
    <x v="0"/>
    <x v="2"/>
    <x v="0"/>
    <x v="0"/>
  </r>
  <r>
    <x v="145"/>
    <x v="10"/>
    <x v="0"/>
    <x v="4"/>
    <x v="0"/>
    <x v="8"/>
    <x v="0"/>
    <x v="0"/>
  </r>
  <r>
    <x v="146"/>
    <x v="37"/>
    <x v="2"/>
    <x v="1"/>
    <x v="3"/>
    <x v="14"/>
    <x v="1"/>
    <x v="2"/>
  </r>
  <r>
    <x v="147"/>
    <x v="14"/>
    <x v="2"/>
    <x v="3"/>
    <x v="3"/>
    <x v="11"/>
    <x v="1"/>
    <x v="2"/>
  </r>
  <r>
    <x v="148"/>
    <x v="57"/>
    <x v="2"/>
    <x v="4"/>
    <x v="2"/>
    <x v="8"/>
    <x v="0"/>
    <x v="2"/>
  </r>
  <r>
    <x v="149"/>
    <x v="75"/>
    <x v="8"/>
    <x v="4"/>
    <x v="2"/>
    <x v="11"/>
    <x v="1"/>
    <x v="8"/>
  </r>
  <r>
    <x v="150"/>
    <x v="3"/>
    <x v="6"/>
    <x v="4"/>
    <x v="2"/>
    <x v="3"/>
    <x v="1"/>
    <x v="6"/>
  </r>
  <r>
    <x v="151"/>
    <x v="26"/>
    <x v="6"/>
    <x v="2"/>
    <x v="0"/>
    <x v="6"/>
    <x v="1"/>
    <x v="6"/>
  </r>
  <r>
    <x v="152"/>
    <x v="62"/>
    <x v="4"/>
    <x v="2"/>
    <x v="2"/>
    <x v="7"/>
    <x v="0"/>
    <x v="4"/>
  </r>
  <r>
    <x v="153"/>
    <x v="11"/>
    <x v="6"/>
    <x v="1"/>
    <x v="2"/>
    <x v="2"/>
    <x v="0"/>
    <x v="6"/>
  </r>
  <r>
    <x v="154"/>
    <x v="10"/>
    <x v="9"/>
    <x v="1"/>
    <x v="1"/>
    <x v="8"/>
    <x v="0"/>
    <x v="9"/>
  </r>
  <r>
    <x v="155"/>
    <x v="42"/>
    <x v="3"/>
    <x v="4"/>
    <x v="3"/>
    <x v="11"/>
    <x v="1"/>
    <x v="3"/>
  </r>
  <r>
    <x v="156"/>
    <x v="58"/>
    <x v="8"/>
    <x v="3"/>
    <x v="2"/>
    <x v="8"/>
    <x v="1"/>
    <x v="8"/>
  </r>
  <r>
    <x v="157"/>
    <x v="54"/>
    <x v="9"/>
    <x v="1"/>
    <x v="0"/>
    <x v="10"/>
    <x v="0"/>
    <x v="9"/>
  </r>
  <r>
    <x v="158"/>
    <x v="70"/>
    <x v="8"/>
    <x v="0"/>
    <x v="3"/>
    <x v="2"/>
    <x v="0"/>
    <x v="8"/>
  </r>
  <r>
    <x v="159"/>
    <x v="13"/>
    <x v="4"/>
    <x v="3"/>
    <x v="3"/>
    <x v="10"/>
    <x v="1"/>
    <x v="4"/>
  </r>
  <r>
    <x v="160"/>
    <x v="76"/>
    <x v="3"/>
    <x v="1"/>
    <x v="3"/>
    <x v="9"/>
    <x v="1"/>
    <x v="3"/>
  </r>
  <r>
    <x v="161"/>
    <x v="77"/>
    <x v="8"/>
    <x v="4"/>
    <x v="1"/>
    <x v="5"/>
    <x v="0"/>
    <x v="8"/>
  </r>
  <r>
    <x v="162"/>
    <x v="13"/>
    <x v="1"/>
    <x v="2"/>
    <x v="3"/>
    <x v="10"/>
    <x v="1"/>
    <x v="1"/>
  </r>
  <r>
    <x v="163"/>
    <x v="36"/>
    <x v="1"/>
    <x v="1"/>
    <x v="1"/>
    <x v="14"/>
    <x v="1"/>
    <x v="1"/>
  </r>
  <r>
    <x v="164"/>
    <x v="38"/>
    <x v="1"/>
    <x v="1"/>
    <x v="0"/>
    <x v="5"/>
    <x v="1"/>
    <x v="1"/>
  </r>
  <r>
    <x v="165"/>
    <x v="78"/>
    <x v="2"/>
    <x v="3"/>
    <x v="1"/>
    <x v="3"/>
    <x v="1"/>
    <x v="2"/>
  </r>
  <r>
    <x v="166"/>
    <x v="46"/>
    <x v="7"/>
    <x v="0"/>
    <x v="3"/>
    <x v="6"/>
    <x v="1"/>
    <x v="7"/>
  </r>
  <r>
    <x v="167"/>
    <x v="79"/>
    <x v="4"/>
    <x v="2"/>
    <x v="0"/>
    <x v="11"/>
    <x v="0"/>
    <x v="4"/>
  </r>
  <r>
    <x v="168"/>
    <x v="80"/>
    <x v="4"/>
    <x v="4"/>
    <x v="0"/>
    <x v="0"/>
    <x v="1"/>
    <x v="4"/>
  </r>
  <r>
    <x v="169"/>
    <x v="81"/>
    <x v="9"/>
    <x v="3"/>
    <x v="2"/>
    <x v="3"/>
    <x v="0"/>
    <x v="9"/>
  </r>
  <r>
    <x v="170"/>
    <x v="13"/>
    <x v="0"/>
    <x v="1"/>
    <x v="0"/>
    <x v="10"/>
    <x v="1"/>
    <x v="0"/>
  </r>
  <r>
    <x v="171"/>
    <x v="36"/>
    <x v="8"/>
    <x v="0"/>
    <x v="2"/>
    <x v="14"/>
    <x v="1"/>
    <x v="8"/>
  </r>
  <r>
    <x v="172"/>
    <x v="48"/>
    <x v="7"/>
    <x v="1"/>
    <x v="3"/>
    <x v="14"/>
    <x v="1"/>
    <x v="7"/>
  </r>
  <r>
    <x v="173"/>
    <x v="76"/>
    <x v="3"/>
    <x v="2"/>
    <x v="1"/>
    <x v="9"/>
    <x v="1"/>
    <x v="3"/>
  </r>
  <r>
    <x v="174"/>
    <x v="64"/>
    <x v="6"/>
    <x v="4"/>
    <x v="3"/>
    <x v="2"/>
    <x v="1"/>
    <x v="6"/>
  </r>
  <r>
    <x v="175"/>
    <x v="72"/>
    <x v="4"/>
    <x v="0"/>
    <x v="2"/>
    <x v="0"/>
    <x v="0"/>
    <x v="4"/>
  </r>
  <r>
    <x v="176"/>
    <x v="82"/>
    <x v="0"/>
    <x v="1"/>
    <x v="2"/>
    <x v="1"/>
    <x v="1"/>
    <x v="0"/>
  </r>
  <r>
    <x v="177"/>
    <x v="52"/>
    <x v="0"/>
    <x v="1"/>
    <x v="3"/>
    <x v="10"/>
    <x v="0"/>
    <x v="0"/>
  </r>
  <r>
    <x v="178"/>
    <x v="62"/>
    <x v="2"/>
    <x v="0"/>
    <x v="1"/>
    <x v="7"/>
    <x v="0"/>
    <x v="2"/>
  </r>
  <r>
    <x v="179"/>
    <x v="53"/>
    <x v="4"/>
    <x v="0"/>
    <x v="1"/>
    <x v="7"/>
    <x v="0"/>
    <x v="4"/>
  </r>
  <r>
    <x v="180"/>
    <x v="51"/>
    <x v="7"/>
    <x v="4"/>
    <x v="2"/>
    <x v="12"/>
    <x v="0"/>
    <x v="7"/>
  </r>
  <r>
    <x v="181"/>
    <x v="22"/>
    <x v="0"/>
    <x v="4"/>
    <x v="3"/>
    <x v="12"/>
    <x v="0"/>
    <x v="0"/>
  </r>
  <r>
    <x v="182"/>
    <x v="50"/>
    <x v="0"/>
    <x v="4"/>
    <x v="3"/>
    <x v="3"/>
    <x v="0"/>
    <x v="0"/>
  </r>
  <r>
    <x v="183"/>
    <x v="76"/>
    <x v="9"/>
    <x v="3"/>
    <x v="1"/>
    <x v="9"/>
    <x v="1"/>
    <x v="9"/>
  </r>
  <r>
    <x v="184"/>
    <x v="65"/>
    <x v="8"/>
    <x v="3"/>
    <x v="3"/>
    <x v="5"/>
    <x v="1"/>
    <x v="8"/>
  </r>
  <r>
    <x v="185"/>
    <x v="83"/>
    <x v="9"/>
    <x v="3"/>
    <x v="3"/>
    <x v="8"/>
    <x v="0"/>
    <x v="9"/>
  </r>
  <r>
    <x v="186"/>
    <x v="46"/>
    <x v="4"/>
    <x v="2"/>
    <x v="0"/>
    <x v="6"/>
    <x v="1"/>
    <x v="4"/>
  </r>
  <r>
    <x v="187"/>
    <x v="42"/>
    <x v="3"/>
    <x v="0"/>
    <x v="3"/>
    <x v="11"/>
    <x v="1"/>
    <x v="3"/>
  </r>
  <r>
    <x v="188"/>
    <x v="81"/>
    <x v="2"/>
    <x v="1"/>
    <x v="3"/>
    <x v="3"/>
    <x v="0"/>
    <x v="2"/>
  </r>
  <r>
    <x v="189"/>
    <x v="49"/>
    <x v="6"/>
    <x v="3"/>
    <x v="2"/>
    <x v="5"/>
    <x v="1"/>
    <x v="6"/>
  </r>
  <r>
    <x v="190"/>
    <x v="70"/>
    <x v="9"/>
    <x v="2"/>
    <x v="2"/>
    <x v="2"/>
    <x v="0"/>
    <x v="9"/>
  </r>
  <r>
    <x v="191"/>
    <x v="29"/>
    <x v="6"/>
    <x v="3"/>
    <x v="2"/>
    <x v="8"/>
    <x v="0"/>
    <x v="6"/>
  </r>
  <r>
    <x v="192"/>
    <x v="54"/>
    <x v="2"/>
    <x v="4"/>
    <x v="1"/>
    <x v="10"/>
    <x v="0"/>
    <x v="2"/>
  </r>
  <r>
    <x v="193"/>
    <x v="26"/>
    <x v="6"/>
    <x v="0"/>
    <x v="2"/>
    <x v="6"/>
    <x v="1"/>
    <x v="6"/>
  </r>
  <r>
    <x v="194"/>
    <x v="72"/>
    <x v="6"/>
    <x v="3"/>
    <x v="0"/>
    <x v="0"/>
    <x v="0"/>
    <x v="6"/>
  </r>
  <r>
    <x v="195"/>
    <x v="2"/>
    <x v="7"/>
    <x v="4"/>
    <x v="3"/>
    <x v="2"/>
    <x v="0"/>
    <x v="7"/>
  </r>
  <r>
    <x v="196"/>
    <x v="17"/>
    <x v="0"/>
    <x v="3"/>
    <x v="2"/>
    <x v="12"/>
    <x v="0"/>
    <x v="0"/>
  </r>
  <r>
    <x v="197"/>
    <x v="1"/>
    <x v="2"/>
    <x v="1"/>
    <x v="1"/>
    <x v="1"/>
    <x v="0"/>
    <x v="2"/>
  </r>
  <r>
    <x v="198"/>
    <x v="30"/>
    <x v="7"/>
    <x v="3"/>
    <x v="3"/>
    <x v="1"/>
    <x v="0"/>
    <x v="7"/>
  </r>
  <r>
    <x v="199"/>
    <x v="84"/>
    <x v="1"/>
    <x v="3"/>
    <x v="0"/>
    <x v="5"/>
    <x v="0"/>
    <x v="1"/>
  </r>
  <r>
    <x v="200"/>
    <x v="85"/>
    <x v="9"/>
    <x v="1"/>
    <x v="2"/>
    <x v="10"/>
    <x v="1"/>
    <x v="9"/>
  </r>
  <r>
    <x v="201"/>
    <x v="79"/>
    <x v="3"/>
    <x v="1"/>
    <x v="0"/>
    <x v="11"/>
    <x v="0"/>
    <x v="3"/>
  </r>
  <r>
    <x v="202"/>
    <x v="40"/>
    <x v="1"/>
    <x v="1"/>
    <x v="2"/>
    <x v="10"/>
    <x v="0"/>
    <x v="1"/>
  </r>
  <r>
    <x v="203"/>
    <x v="5"/>
    <x v="7"/>
    <x v="0"/>
    <x v="0"/>
    <x v="5"/>
    <x v="0"/>
    <x v="7"/>
  </r>
  <r>
    <x v="204"/>
    <x v="64"/>
    <x v="8"/>
    <x v="2"/>
    <x v="3"/>
    <x v="2"/>
    <x v="1"/>
    <x v="8"/>
  </r>
  <r>
    <x v="205"/>
    <x v="58"/>
    <x v="6"/>
    <x v="4"/>
    <x v="3"/>
    <x v="8"/>
    <x v="1"/>
    <x v="6"/>
  </r>
  <r>
    <x v="206"/>
    <x v="86"/>
    <x v="4"/>
    <x v="0"/>
    <x v="0"/>
    <x v="1"/>
    <x v="1"/>
    <x v="4"/>
  </r>
  <r>
    <x v="207"/>
    <x v="63"/>
    <x v="8"/>
    <x v="3"/>
    <x v="0"/>
    <x v="3"/>
    <x v="0"/>
    <x v="8"/>
  </r>
  <r>
    <x v="208"/>
    <x v="6"/>
    <x v="5"/>
    <x v="3"/>
    <x v="1"/>
    <x v="6"/>
    <x v="1"/>
    <x v="5"/>
  </r>
  <r>
    <x v="209"/>
    <x v="87"/>
    <x v="0"/>
    <x v="2"/>
    <x v="0"/>
    <x v="14"/>
    <x v="0"/>
    <x v="0"/>
  </r>
  <r>
    <x v="210"/>
    <x v="37"/>
    <x v="3"/>
    <x v="2"/>
    <x v="0"/>
    <x v="14"/>
    <x v="1"/>
    <x v="3"/>
  </r>
  <r>
    <x v="211"/>
    <x v="36"/>
    <x v="6"/>
    <x v="2"/>
    <x v="1"/>
    <x v="14"/>
    <x v="1"/>
    <x v="6"/>
  </r>
  <r>
    <x v="212"/>
    <x v="5"/>
    <x v="9"/>
    <x v="2"/>
    <x v="3"/>
    <x v="5"/>
    <x v="0"/>
    <x v="9"/>
  </r>
  <r>
    <x v="213"/>
    <x v="66"/>
    <x v="1"/>
    <x v="3"/>
    <x v="0"/>
    <x v="0"/>
    <x v="0"/>
    <x v="1"/>
  </r>
  <r>
    <x v="214"/>
    <x v="54"/>
    <x v="6"/>
    <x v="2"/>
    <x v="3"/>
    <x v="10"/>
    <x v="0"/>
    <x v="6"/>
  </r>
  <r>
    <x v="215"/>
    <x v="88"/>
    <x v="9"/>
    <x v="0"/>
    <x v="1"/>
    <x v="9"/>
    <x v="0"/>
    <x v="9"/>
  </r>
  <r>
    <x v="216"/>
    <x v="42"/>
    <x v="4"/>
    <x v="4"/>
    <x v="1"/>
    <x v="11"/>
    <x v="1"/>
    <x v="4"/>
  </r>
  <r>
    <x v="217"/>
    <x v="49"/>
    <x v="1"/>
    <x v="1"/>
    <x v="2"/>
    <x v="5"/>
    <x v="1"/>
    <x v="1"/>
  </r>
  <r>
    <x v="218"/>
    <x v="28"/>
    <x v="6"/>
    <x v="4"/>
    <x v="1"/>
    <x v="4"/>
    <x v="0"/>
    <x v="6"/>
  </r>
  <r>
    <x v="219"/>
    <x v="32"/>
    <x v="3"/>
    <x v="2"/>
    <x v="1"/>
    <x v="9"/>
    <x v="0"/>
    <x v="3"/>
  </r>
  <r>
    <x v="220"/>
    <x v="83"/>
    <x v="3"/>
    <x v="0"/>
    <x v="2"/>
    <x v="8"/>
    <x v="0"/>
    <x v="3"/>
  </r>
  <r>
    <x v="221"/>
    <x v="6"/>
    <x v="7"/>
    <x v="3"/>
    <x v="2"/>
    <x v="6"/>
    <x v="1"/>
    <x v="7"/>
  </r>
  <r>
    <x v="222"/>
    <x v="15"/>
    <x v="4"/>
    <x v="3"/>
    <x v="2"/>
    <x v="5"/>
    <x v="0"/>
    <x v="4"/>
  </r>
  <r>
    <x v="223"/>
    <x v="27"/>
    <x v="8"/>
    <x v="3"/>
    <x v="1"/>
    <x v="4"/>
    <x v="0"/>
    <x v="8"/>
  </r>
  <r>
    <x v="224"/>
    <x v="46"/>
    <x v="5"/>
    <x v="2"/>
    <x v="1"/>
    <x v="6"/>
    <x v="1"/>
    <x v="5"/>
  </r>
  <r>
    <x v="225"/>
    <x v="42"/>
    <x v="2"/>
    <x v="4"/>
    <x v="3"/>
    <x v="11"/>
    <x v="1"/>
    <x v="2"/>
  </r>
  <r>
    <x v="226"/>
    <x v="89"/>
    <x v="5"/>
    <x v="4"/>
    <x v="3"/>
    <x v="7"/>
    <x v="1"/>
    <x v="5"/>
  </r>
  <r>
    <x v="227"/>
    <x v="26"/>
    <x v="3"/>
    <x v="4"/>
    <x v="2"/>
    <x v="6"/>
    <x v="1"/>
    <x v="3"/>
  </r>
  <r>
    <x v="228"/>
    <x v="58"/>
    <x v="1"/>
    <x v="4"/>
    <x v="0"/>
    <x v="8"/>
    <x v="1"/>
    <x v="1"/>
  </r>
  <r>
    <x v="229"/>
    <x v="9"/>
    <x v="8"/>
    <x v="2"/>
    <x v="2"/>
    <x v="7"/>
    <x v="0"/>
    <x v="8"/>
  </r>
  <r>
    <x v="230"/>
    <x v="47"/>
    <x v="8"/>
    <x v="1"/>
    <x v="2"/>
    <x v="8"/>
    <x v="0"/>
    <x v="8"/>
  </r>
  <r>
    <x v="231"/>
    <x v="83"/>
    <x v="1"/>
    <x v="0"/>
    <x v="2"/>
    <x v="8"/>
    <x v="0"/>
    <x v="1"/>
  </r>
  <r>
    <x v="232"/>
    <x v="56"/>
    <x v="2"/>
    <x v="0"/>
    <x v="0"/>
    <x v="4"/>
    <x v="0"/>
    <x v="2"/>
  </r>
  <r>
    <x v="233"/>
    <x v="68"/>
    <x v="8"/>
    <x v="3"/>
    <x v="1"/>
    <x v="5"/>
    <x v="0"/>
    <x v="8"/>
  </r>
  <r>
    <x v="234"/>
    <x v="44"/>
    <x v="1"/>
    <x v="1"/>
    <x v="1"/>
    <x v="12"/>
    <x v="1"/>
    <x v="1"/>
  </r>
  <r>
    <x v="235"/>
    <x v="49"/>
    <x v="6"/>
    <x v="2"/>
    <x v="1"/>
    <x v="5"/>
    <x v="1"/>
    <x v="6"/>
  </r>
  <r>
    <x v="236"/>
    <x v="90"/>
    <x v="3"/>
    <x v="4"/>
    <x v="3"/>
    <x v="10"/>
    <x v="1"/>
    <x v="3"/>
  </r>
  <r>
    <x v="237"/>
    <x v="0"/>
    <x v="1"/>
    <x v="1"/>
    <x v="3"/>
    <x v="0"/>
    <x v="0"/>
    <x v="1"/>
  </r>
  <r>
    <x v="238"/>
    <x v="0"/>
    <x v="4"/>
    <x v="3"/>
    <x v="3"/>
    <x v="0"/>
    <x v="0"/>
    <x v="4"/>
  </r>
  <r>
    <x v="239"/>
    <x v="8"/>
    <x v="2"/>
    <x v="0"/>
    <x v="1"/>
    <x v="2"/>
    <x v="0"/>
    <x v="2"/>
  </r>
  <r>
    <x v="240"/>
    <x v="62"/>
    <x v="3"/>
    <x v="2"/>
    <x v="0"/>
    <x v="7"/>
    <x v="0"/>
    <x v="3"/>
  </r>
  <r>
    <x v="241"/>
    <x v="53"/>
    <x v="8"/>
    <x v="2"/>
    <x v="1"/>
    <x v="7"/>
    <x v="0"/>
    <x v="8"/>
  </r>
  <r>
    <x v="242"/>
    <x v="3"/>
    <x v="3"/>
    <x v="0"/>
    <x v="1"/>
    <x v="3"/>
    <x v="1"/>
    <x v="3"/>
  </r>
  <r>
    <x v="243"/>
    <x v="38"/>
    <x v="2"/>
    <x v="4"/>
    <x v="0"/>
    <x v="5"/>
    <x v="1"/>
    <x v="2"/>
  </r>
  <r>
    <x v="244"/>
    <x v="69"/>
    <x v="3"/>
    <x v="4"/>
    <x v="1"/>
    <x v="14"/>
    <x v="1"/>
    <x v="3"/>
  </r>
  <r>
    <x v="245"/>
    <x v="91"/>
    <x v="2"/>
    <x v="3"/>
    <x v="0"/>
    <x v="1"/>
    <x v="0"/>
    <x v="2"/>
  </r>
  <r>
    <x v="246"/>
    <x v="71"/>
    <x v="2"/>
    <x v="0"/>
    <x v="3"/>
    <x v="4"/>
    <x v="1"/>
    <x v="2"/>
  </r>
  <r>
    <x v="247"/>
    <x v="39"/>
    <x v="9"/>
    <x v="2"/>
    <x v="2"/>
    <x v="9"/>
    <x v="0"/>
    <x v="9"/>
  </r>
  <r>
    <x v="248"/>
    <x v="37"/>
    <x v="9"/>
    <x v="3"/>
    <x v="1"/>
    <x v="14"/>
    <x v="1"/>
    <x v="9"/>
  </r>
  <r>
    <x v="249"/>
    <x v="49"/>
    <x v="3"/>
    <x v="2"/>
    <x v="2"/>
    <x v="5"/>
    <x v="1"/>
    <x v="3"/>
  </r>
  <r>
    <x v="250"/>
    <x v="40"/>
    <x v="8"/>
    <x v="0"/>
    <x v="0"/>
    <x v="10"/>
    <x v="0"/>
    <x v="8"/>
  </r>
  <r>
    <x v="251"/>
    <x v="79"/>
    <x v="2"/>
    <x v="0"/>
    <x v="1"/>
    <x v="11"/>
    <x v="0"/>
    <x v="2"/>
  </r>
  <r>
    <x v="252"/>
    <x v="61"/>
    <x v="9"/>
    <x v="2"/>
    <x v="1"/>
    <x v="0"/>
    <x v="0"/>
    <x v="9"/>
  </r>
  <r>
    <x v="253"/>
    <x v="76"/>
    <x v="1"/>
    <x v="0"/>
    <x v="2"/>
    <x v="9"/>
    <x v="1"/>
    <x v="1"/>
  </r>
  <r>
    <x v="254"/>
    <x v="53"/>
    <x v="4"/>
    <x v="1"/>
    <x v="2"/>
    <x v="7"/>
    <x v="0"/>
    <x v="4"/>
  </r>
  <r>
    <x v="255"/>
    <x v="40"/>
    <x v="2"/>
    <x v="2"/>
    <x v="1"/>
    <x v="10"/>
    <x v="0"/>
    <x v="2"/>
  </r>
  <r>
    <x v="256"/>
    <x v="3"/>
    <x v="4"/>
    <x v="3"/>
    <x v="3"/>
    <x v="3"/>
    <x v="1"/>
    <x v="4"/>
  </r>
  <r>
    <x v="257"/>
    <x v="76"/>
    <x v="5"/>
    <x v="1"/>
    <x v="3"/>
    <x v="9"/>
    <x v="1"/>
    <x v="5"/>
  </r>
  <r>
    <x v="258"/>
    <x v="11"/>
    <x v="0"/>
    <x v="1"/>
    <x v="1"/>
    <x v="2"/>
    <x v="0"/>
    <x v="0"/>
  </r>
  <r>
    <x v="259"/>
    <x v="39"/>
    <x v="0"/>
    <x v="0"/>
    <x v="0"/>
    <x v="9"/>
    <x v="0"/>
    <x v="0"/>
  </r>
  <r>
    <x v="260"/>
    <x v="33"/>
    <x v="9"/>
    <x v="0"/>
    <x v="3"/>
    <x v="3"/>
    <x v="0"/>
    <x v="9"/>
  </r>
  <r>
    <x v="261"/>
    <x v="46"/>
    <x v="1"/>
    <x v="3"/>
    <x v="2"/>
    <x v="6"/>
    <x v="1"/>
    <x v="1"/>
  </r>
  <r>
    <x v="262"/>
    <x v="49"/>
    <x v="4"/>
    <x v="2"/>
    <x v="0"/>
    <x v="5"/>
    <x v="1"/>
    <x v="4"/>
  </r>
  <r>
    <x v="263"/>
    <x v="89"/>
    <x v="3"/>
    <x v="2"/>
    <x v="3"/>
    <x v="7"/>
    <x v="1"/>
    <x v="3"/>
  </r>
  <r>
    <x v="264"/>
    <x v="70"/>
    <x v="4"/>
    <x v="3"/>
    <x v="2"/>
    <x v="2"/>
    <x v="0"/>
    <x v="4"/>
  </r>
  <r>
    <x v="265"/>
    <x v="88"/>
    <x v="8"/>
    <x v="3"/>
    <x v="3"/>
    <x v="9"/>
    <x v="0"/>
    <x v="8"/>
  </r>
  <r>
    <x v="266"/>
    <x v="62"/>
    <x v="4"/>
    <x v="4"/>
    <x v="2"/>
    <x v="7"/>
    <x v="0"/>
    <x v="4"/>
  </r>
  <r>
    <x v="267"/>
    <x v="59"/>
    <x v="4"/>
    <x v="0"/>
    <x v="1"/>
    <x v="6"/>
    <x v="1"/>
    <x v="4"/>
  </r>
  <r>
    <x v="268"/>
    <x v="15"/>
    <x v="7"/>
    <x v="0"/>
    <x v="0"/>
    <x v="5"/>
    <x v="0"/>
    <x v="7"/>
  </r>
  <r>
    <x v="269"/>
    <x v="13"/>
    <x v="8"/>
    <x v="0"/>
    <x v="1"/>
    <x v="10"/>
    <x v="1"/>
    <x v="8"/>
  </r>
  <r>
    <x v="270"/>
    <x v="9"/>
    <x v="1"/>
    <x v="2"/>
    <x v="2"/>
    <x v="7"/>
    <x v="0"/>
    <x v="1"/>
  </r>
  <r>
    <x v="271"/>
    <x v="90"/>
    <x v="4"/>
    <x v="4"/>
    <x v="1"/>
    <x v="10"/>
    <x v="1"/>
    <x v="4"/>
  </r>
  <r>
    <x v="272"/>
    <x v="43"/>
    <x v="2"/>
    <x v="0"/>
    <x v="0"/>
    <x v="7"/>
    <x v="0"/>
    <x v="2"/>
  </r>
  <r>
    <x v="273"/>
    <x v="87"/>
    <x v="9"/>
    <x v="3"/>
    <x v="1"/>
    <x v="14"/>
    <x v="0"/>
    <x v="9"/>
  </r>
  <r>
    <x v="274"/>
    <x v="80"/>
    <x v="3"/>
    <x v="2"/>
    <x v="3"/>
    <x v="0"/>
    <x v="1"/>
    <x v="3"/>
  </r>
  <r>
    <x v="275"/>
    <x v="3"/>
    <x v="9"/>
    <x v="2"/>
    <x v="1"/>
    <x v="3"/>
    <x v="1"/>
    <x v="9"/>
  </r>
  <r>
    <x v="276"/>
    <x v="92"/>
    <x v="2"/>
    <x v="2"/>
    <x v="0"/>
    <x v="12"/>
    <x v="0"/>
    <x v="2"/>
  </r>
  <r>
    <x v="277"/>
    <x v="91"/>
    <x v="9"/>
    <x v="3"/>
    <x v="0"/>
    <x v="1"/>
    <x v="0"/>
    <x v="9"/>
  </r>
  <r>
    <x v="278"/>
    <x v="33"/>
    <x v="8"/>
    <x v="1"/>
    <x v="2"/>
    <x v="3"/>
    <x v="0"/>
    <x v="8"/>
  </r>
  <r>
    <x v="279"/>
    <x v="68"/>
    <x v="5"/>
    <x v="4"/>
    <x v="3"/>
    <x v="5"/>
    <x v="0"/>
    <x v="5"/>
  </r>
  <r>
    <x v="280"/>
    <x v="77"/>
    <x v="6"/>
    <x v="2"/>
    <x v="2"/>
    <x v="5"/>
    <x v="0"/>
    <x v="6"/>
  </r>
  <r>
    <x v="281"/>
    <x v="37"/>
    <x v="8"/>
    <x v="1"/>
    <x v="3"/>
    <x v="14"/>
    <x v="1"/>
    <x v="8"/>
  </r>
  <r>
    <x v="282"/>
    <x v="5"/>
    <x v="5"/>
    <x v="3"/>
    <x v="3"/>
    <x v="5"/>
    <x v="0"/>
    <x v="5"/>
  </r>
  <r>
    <x v="283"/>
    <x v="14"/>
    <x v="1"/>
    <x v="0"/>
    <x v="2"/>
    <x v="11"/>
    <x v="1"/>
    <x v="1"/>
  </r>
  <r>
    <x v="284"/>
    <x v="32"/>
    <x v="7"/>
    <x v="3"/>
    <x v="3"/>
    <x v="9"/>
    <x v="0"/>
    <x v="7"/>
  </r>
  <r>
    <x v="285"/>
    <x v="22"/>
    <x v="1"/>
    <x v="3"/>
    <x v="2"/>
    <x v="12"/>
    <x v="0"/>
    <x v="1"/>
  </r>
  <r>
    <x v="286"/>
    <x v="20"/>
    <x v="5"/>
    <x v="4"/>
    <x v="1"/>
    <x v="10"/>
    <x v="0"/>
    <x v="5"/>
  </r>
  <r>
    <x v="287"/>
    <x v="32"/>
    <x v="5"/>
    <x v="2"/>
    <x v="3"/>
    <x v="9"/>
    <x v="0"/>
    <x v="5"/>
  </r>
  <r>
    <x v="288"/>
    <x v="91"/>
    <x v="8"/>
    <x v="4"/>
    <x v="0"/>
    <x v="1"/>
    <x v="0"/>
    <x v="8"/>
  </r>
  <r>
    <x v="289"/>
    <x v="86"/>
    <x v="8"/>
    <x v="3"/>
    <x v="3"/>
    <x v="1"/>
    <x v="1"/>
    <x v="8"/>
  </r>
  <r>
    <x v="290"/>
    <x v="27"/>
    <x v="1"/>
    <x v="4"/>
    <x v="0"/>
    <x v="4"/>
    <x v="0"/>
    <x v="1"/>
  </r>
  <r>
    <x v="291"/>
    <x v="11"/>
    <x v="0"/>
    <x v="1"/>
    <x v="2"/>
    <x v="2"/>
    <x v="0"/>
    <x v="0"/>
  </r>
  <r>
    <x v="292"/>
    <x v="80"/>
    <x v="3"/>
    <x v="4"/>
    <x v="0"/>
    <x v="0"/>
    <x v="1"/>
    <x v="3"/>
  </r>
  <r>
    <x v="293"/>
    <x v="12"/>
    <x v="6"/>
    <x v="0"/>
    <x v="2"/>
    <x v="9"/>
    <x v="1"/>
    <x v="6"/>
  </r>
  <r>
    <x v="294"/>
    <x v="73"/>
    <x v="6"/>
    <x v="4"/>
    <x v="1"/>
    <x v="8"/>
    <x v="0"/>
    <x v="6"/>
  </r>
  <r>
    <x v="295"/>
    <x v="77"/>
    <x v="6"/>
    <x v="3"/>
    <x v="3"/>
    <x v="5"/>
    <x v="0"/>
    <x v="6"/>
  </r>
  <r>
    <x v="296"/>
    <x v="58"/>
    <x v="3"/>
    <x v="1"/>
    <x v="3"/>
    <x v="8"/>
    <x v="1"/>
    <x v="3"/>
  </r>
  <r>
    <x v="297"/>
    <x v="48"/>
    <x v="5"/>
    <x v="2"/>
    <x v="3"/>
    <x v="14"/>
    <x v="1"/>
    <x v="5"/>
  </r>
  <r>
    <x v="298"/>
    <x v="44"/>
    <x v="5"/>
    <x v="2"/>
    <x v="3"/>
    <x v="12"/>
    <x v="1"/>
    <x v="5"/>
  </r>
  <r>
    <x v="299"/>
    <x v="65"/>
    <x v="4"/>
    <x v="2"/>
    <x v="1"/>
    <x v="5"/>
    <x v="1"/>
    <x v="4"/>
  </r>
  <r>
    <x v="300"/>
    <x v="65"/>
    <x v="3"/>
    <x v="1"/>
    <x v="3"/>
    <x v="5"/>
    <x v="1"/>
    <x v="3"/>
  </r>
  <r>
    <x v="301"/>
    <x v="42"/>
    <x v="3"/>
    <x v="3"/>
    <x v="2"/>
    <x v="11"/>
    <x v="1"/>
    <x v="3"/>
  </r>
  <r>
    <x v="302"/>
    <x v="21"/>
    <x v="6"/>
    <x v="3"/>
    <x v="3"/>
    <x v="5"/>
    <x v="0"/>
    <x v="6"/>
  </r>
  <r>
    <x v="303"/>
    <x v="65"/>
    <x v="9"/>
    <x v="2"/>
    <x v="3"/>
    <x v="5"/>
    <x v="1"/>
    <x v="9"/>
  </r>
  <r>
    <x v="304"/>
    <x v="33"/>
    <x v="8"/>
    <x v="2"/>
    <x v="0"/>
    <x v="3"/>
    <x v="0"/>
    <x v="8"/>
  </r>
  <r>
    <x v="305"/>
    <x v="30"/>
    <x v="9"/>
    <x v="3"/>
    <x v="3"/>
    <x v="1"/>
    <x v="0"/>
    <x v="9"/>
  </r>
  <r>
    <x v="306"/>
    <x v="58"/>
    <x v="3"/>
    <x v="4"/>
    <x v="1"/>
    <x v="8"/>
    <x v="1"/>
    <x v="3"/>
  </r>
  <r>
    <x v="307"/>
    <x v="53"/>
    <x v="6"/>
    <x v="4"/>
    <x v="0"/>
    <x v="7"/>
    <x v="0"/>
    <x v="6"/>
  </r>
  <r>
    <x v="308"/>
    <x v="8"/>
    <x v="4"/>
    <x v="2"/>
    <x v="0"/>
    <x v="2"/>
    <x v="0"/>
    <x v="4"/>
  </r>
  <r>
    <x v="309"/>
    <x v="45"/>
    <x v="5"/>
    <x v="2"/>
    <x v="2"/>
    <x v="5"/>
    <x v="1"/>
    <x v="5"/>
  </r>
  <r>
    <x v="310"/>
    <x v="11"/>
    <x v="4"/>
    <x v="0"/>
    <x v="0"/>
    <x v="2"/>
    <x v="0"/>
    <x v="4"/>
  </r>
  <r>
    <x v="311"/>
    <x v="64"/>
    <x v="5"/>
    <x v="0"/>
    <x v="2"/>
    <x v="2"/>
    <x v="1"/>
    <x v="5"/>
  </r>
  <r>
    <x v="312"/>
    <x v="36"/>
    <x v="3"/>
    <x v="2"/>
    <x v="3"/>
    <x v="14"/>
    <x v="1"/>
    <x v="3"/>
  </r>
  <r>
    <x v="313"/>
    <x v="2"/>
    <x v="0"/>
    <x v="0"/>
    <x v="2"/>
    <x v="2"/>
    <x v="0"/>
    <x v="0"/>
  </r>
  <r>
    <x v="314"/>
    <x v="20"/>
    <x v="2"/>
    <x v="1"/>
    <x v="2"/>
    <x v="10"/>
    <x v="0"/>
    <x v="2"/>
  </r>
  <r>
    <x v="315"/>
    <x v="93"/>
    <x v="0"/>
    <x v="4"/>
    <x v="0"/>
    <x v="10"/>
    <x v="1"/>
    <x v="0"/>
  </r>
  <r>
    <x v="316"/>
    <x v="48"/>
    <x v="7"/>
    <x v="1"/>
    <x v="3"/>
    <x v="14"/>
    <x v="1"/>
    <x v="7"/>
  </r>
  <r>
    <x v="317"/>
    <x v="18"/>
    <x v="1"/>
    <x v="4"/>
    <x v="1"/>
    <x v="4"/>
    <x v="1"/>
    <x v="1"/>
  </r>
  <r>
    <x v="318"/>
    <x v="22"/>
    <x v="1"/>
    <x v="2"/>
    <x v="3"/>
    <x v="12"/>
    <x v="0"/>
    <x v="1"/>
  </r>
  <r>
    <x v="319"/>
    <x v="32"/>
    <x v="3"/>
    <x v="2"/>
    <x v="2"/>
    <x v="9"/>
    <x v="0"/>
    <x v="3"/>
  </r>
  <r>
    <x v="320"/>
    <x v="23"/>
    <x v="0"/>
    <x v="1"/>
    <x v="3"/>
    <x v="8"/>
    <x v="0"/>
    <x v="0"/>
  </r>
  <r>
    <x v="321"/>
    <x v="4"/>
    <x v="4"/>
    <x v="3"/>
    <x v="2"/>
    <x v="4"/>
    <x v="0"/>
    <x v="4"/>
  </r>
  <r>
    <x v="322"/>
    <x v="14"/>
    <x v="6"/>
    <x v="2"/>
    <x v="2"/>
    <x v="11"/>
    <x v="1"/>
    <x v="6"/>
  </r>
  <r>
    <x v="323"/>
    <x v="44"/>
    <x v="6"/>
    <x v="2"/>
    <x v="1"/>
    <x v="12"/>
    <x v="1"/>
    <x v="6"/>
  </r>
  <r>
    <x v="324"/>
    <x v="56"/>
    <x v="1"/>
    <x v="0"/>
    <x v="0"/>
    <x v="4"/>
    <x v="0"/>
    <x v="1"/>
  </r>
  <r>
    <x v="325"/>
    <x v="30"/>
    <x v="7"/>
    <x v="0"/>
    <x v="2"/>
    <x v="1"/>
    <x v="0"/>
    <x v="7"/>
  </r>
  <r>
    <x v="326"/>
    <x v="1"/>
    <x v="9"/>
    <x v="1"/>
    <x v="2"/>
    <x v="1"/>
    <x v="0"/>
    <x v="9"/>
  </r>
  <r>
    <x v="327"/>
    <x v="17"/>
    <x v="7"/>
    <x v="3"/>
    <x v="1"/>
    <x v="12"/>
    <x v="0"/>
    <x v="7"/>
  </r>
  <r>
    <x v="328"/>
    <x v="48"/>
    <x v="0"/>
    <x v="2"/>
    <x v="2"/>
    <x v="14"/>
    <x v="1"/>
    <x v="0"/>
  </r>
  <r>
    <x v="329"/>
    <x v="74"/>
    <x v="2"/>
    <x v="2"/>
    <x v="3"/>
    <x v="14"/>
    <x v="1"/>
    <x v="2"/>
  </r>
  <r>
    <x v="330"/>
    <x v="63"/>
    <x v="7"/>
    <x v="2"/>
    <x v="2"/>
    <x v="3"/>
    <x v="0"/>
    <x v="7"/>
  </r>
  <r>
    <x v="331"/>
    <x v="72"/>
    <x v="5"/>
    <x v="1"/>
    <x v="1"/>
    <x v="0"/>
    <x v="0"/>
    <x v="5"/>
  </r>
  <r>
    <x v="332"/>
    <x v="74"/>
    <x v="8"/>
    <x v="4"/>
    <x v="1"/>
    <x v="14"/>
    <x v="1"/>
    <x v="8"/>
  </r>
  <r>
    <x v="333"/>
    <x v="77"/>
    <x v="3"/>
    <x v="4"/>
    <x v="0"/>
    <x v="5"/>
    <x v="0"/>
    <x v="3"/>
  </r>
  <r>
    <x v="334"/>
    <x v="27"/>
    <x v="9"/>
    <x v="0"/>
    <x v="2"/>
    <x v="4"/>
    <x v="0"/>
    <x v="9"/>
  </r>
  <r>
    <x v="335"/>
    <x v="39"/>
    <x v="5"/>
    <x v="0"/>
    <x v="0"/>
    <x v="9"/>
    <x v="0"/>
    <x v="5"/>
  </r>
  <r>
    <x v="336"/>
    <x v="62"/>
    <x v="4"/>
    <x v="2"/>
    <x v="1"/>
    <x v="7"/>
    <x v="0"/>
    <x v="4"/>
  </r>
  <r>
    <x v="337"/>
    <x v="80"/>
    <x v="6"/>
    <x v="3"/>
    <x v="1"/>
    <x v="0"/>
    <x v="1"/>
    <x v="6"/>
  </r>
  <r>
    <x v="338"/>
    <x v="10"/>
    <x v="8"/>
    <x v="3"/>
    <x v="2"/>
    <x v="8"/>
    <x v="0"/>
    <x v="8"/>
  </r>
  <r>
    <x v="339"/>
    <x v="79"/>
    <x v="2"/>
    <x v="3"/>
    <x v="3"/>
    <x v="11"/>
    <x v="0"/>
    <x v="2"/>
  </r>
  <r>
    <x v="340"/>
    <x v="37"/>
    <x v="6"/>
    <x v="2"/>
    <x v="1"/>
    <x v="14"/>
    <x v="1"/>
    <x v="6"/>
  </r>
  <r>
    <x v="341"/>
    <x v="33"/>
    <x v="5"/>
    <x v="0"/>
    <x v="0"/>
    <x v="3"/>
    <x v="0"/>
    <x v="5"/>
  </r>
  <r>
    <x v="342"/>
    <x v="11"/>
    <x v="6"/>
    <x v="4"/>
    <x v="3"/>
    <x v="2"/>
    <x v="0"/>
    <x v="6"/>
  </r>
  <r>
    <x v="343"/>
    <x v="6"/>
    <x v="9"/>
    <x v="1"/>
    <x v="2"/>
    <x v="6"/>
    <x v="1"/>
    <x v="9"/>
  </r>
  <r>
    <x v="344"/>
    <x v="77"/>
    <x v="9"/>
    <x v="2"/>
    <x v="1"/>
    <x v="5"/>
    <x v="0"/>
    <x v="9"/>
  </r>
  <r>
    <x v="345"/>
    <x v="27"/>
    <x v="8"/>
    <x v="3"/>
    <x v="3"/>
    <x v="4"/>
    <x v="0"/>
    <x v="8"/>
  </r>
  <r>
    <x v="346"/>
    <x v="24"/>
    <x v="7"/>
    <x v="2"/>
    <x v="1"/>
    <x v="13"/>
    <x v="0"/>
    <x v="7"/>
  </r>
  <r>
    <x v="347"/>
    <x v="56"/>
    <x v="2"/>
    <x v="4"/>
    <x v="2"/>
    <x v="4"/>
    <x v="0"/>
    <x v="2"/>
  </r>
  <r>
    <x v="348"/>
    <x v="35"/>
    <x v="8"/>
    <x v="0"/>
    <x v="1"/>
    <x v="12"/>
    <x v="0"/>
    <x v="8"/>
  </r>
  <r>
    <x v="349"/>
    <x v="31"/>
    <x v="0"/>
    <x v="0"/>
    <x v="3"/>
    <x v="9"/>
    <x v="0"/>
    <x v="0"/>
  </r>
  <r>
    <x v="350"/>
    <x v="28"/>
    <x v="7"/>
    <x v="0"/>
    <x v="3"/>
    <x v="4"/>
    <x v="0"/>
    <x v="7"/>
  </r>
  <r>
    <x v="351"/>
    <x v="63"/>
    <x v="6"/>
    <x v="1"/>
    <x v="2"/>
    <x v="3"/>
    <x v="0"/>
    <x v="6"/>
  </r>
  <r>
    <x v="352"/>
    <x v="49"/>
    <x v="8"/>
    <x v="1"/>
    <x v="3"/>
    <x v="5"/>
    <x v="1"/>
    <x v="8"/>
  </r>
  <r>
    <x v="353"/>
    <x v="45"/>
    <x v="8"/>
    <x v="1"/>
    <x v="3"/>
    <x v="5"/>
    <x v="1"/>
    <x v="8"/>
  </r>
  <r>
    <x v="354"/>
    <x v="94"/>
    <x v="2"/>
    <x v="3"/>
    <x v="2"/>
    <x v="4"/>
    <x v="1"/>
    <x v="2"/>
  </r>
  <r>
    <x v="355"/>
    <x v="44"/>
    <x v="4"/>
    <x v="4"/>
    <x v="0"/>
    <x v="12"/>
    <x v="1"/>
    <x v="4"/>
  </r>
  <r>
    <x v="356"/>
    <x v="35"/>
    <x v="2"/>
    <x v="0"/>
    <x v="1"/>
    <x v="12"/>
    <x v="0"/>
    <x v="2"/>
  </r>
  <r>
    <x v="357"/>
    <x v="44"/>
    <x v="6"/>
    <x v="0"/>
    <x v="3"/>
    <x v="12"/>
    <x v="1"/>
    <x v="6"/>
  </r>
  <r>
    <x v="358"/>
    <x v="32"/>
    <x v="5"/>
    <x v="1"/>
    <x v="0"/>
    <x v="9"/>
    <x v="0"/>
    <x v="5"/>
  </r>
  <r>
    <x v="359"/>
    <x v="78"/>
    <x v="8"/>
    <x v="0"/>
    <x v="2"/>
    <x v="3"/>
    <x v="1"/>
    <x v="8"/>
  </r>
  <r>
    <x v="360"/>
    <x v="11"/>
    <x v="6"/>
    <x v="4"/>
    <x v="2"/>
    <x v="2"/>
    <x v="0"/>
    <x v="6"/>
  </r>
  <r>
    <x v="361"/>
    <x v="5"/>
    <x v="7"/>
    <x v="3"/>
    <x v="2"/>
    <x v="5"/>
    <x v="0"/>
    <x v="7"/>
  </r>
  <r>
    <x v="362"/>
    <x v="12"/>
    <x v="3"/>
    <x v="2"/>
    <x v="1"/>
    <x v="9"/>
    <x v="1"/>
    <x v="3"/>
  </r>
  <r>
    <x v="363"/>
    <x v="92"/>
    <x v="5"/>
    <x v="1"/>
    <x v="1"/>
    <x v="12"/>
    <x v="0"/>
    <x v="5"/>
  </r>
  <r>
    <x v="364"/>
    <x v="42"/>
    <x v="1"/>
    <x v="2"/>
    <x v="3"/>
    <x v="11"/>
    <x v="1"/>
    <x v="1"/>
  </r>
  <r>
    <x v="365"/>
    <x v="12"/>
    <x v="4"/>
    <x v="4"/>
    <x v="1"/>
    <x v="9"/>
    <x v="1"/>
    <x v="4"/>
  </r>
  <r>
    <x v="366"/>
    <x v="91"/>
    <x v="9"/>
    <x v="1"/>
    <x v="3"/>
    <x v="1"/>
    <x v="0"/>
    <x v="9"/>
  </r>
  <r>
    <x v="367"/>
    <x v="79"/>
    <x v="8"/>
    <x v="3"/>
    <x v="0"/>
    <x v="11"/>
    <x v="0"/>
    <x v="8"/>
  </r>
  <r>
    <x v="368"/>
    <x v="80"/>
    <x v="6"/>
    <x v="1"/>
    <x v="3"/>
    <x v="0"/>
    <x v="1"/>
    <x v="6"/>
  </r>
  <r>
    <x v="369"/>
    <x v="95"/>
    <x v="2"/>
    <x v="2"/>
    <x v="1"/>
    <x v="0"/>
    <x v="0"/>
    <x v="2"/>
  </r>
  <r>
    <x v="370"/>
    <x v="4"/>
    <x v="9"/>
    <x v="1"/>
    <x v="2"/>
    <x v="4"/>
    <x v="0"/>
    <x v="9"/>
  </r>
  <r>
    <x v="371"/>
    <x v="29"/>
    <x v="1"/>
    <x v="0"/>
    <x v="3"/>
    <x v="8"/>
    <x v="0"/>
    <x v="1"/>
  </r>
  <r>
    <x v="372"/>
    <x v="59"/>
    <x v="8"/>
    <x v="2"/>
    <x v="3"/>
    <x v="6"/>
    <x v="1"/>
    <x v="8"/>
  </r>
  <r>
    <x v="373"/>
    <x v="78"/>
    <x v="8"/>
    <x v="2"/>
    <x v="1"/>
    <x v="3"/>
    <x v="1"/>
    <x v="8"/>
  </r>
  <r>
    <x v="374"/>
    <x v="30"/>
    <x v="1"/>
    <x v="1"/>
    <x v="0"/>
    <x v="1"/>
    <x v="0"/>
    <x v="1"/>
  </r>
  <r>
    <x v="375"/>
    <x v="27"/>
    <x v="8"/>
    <x v="3"/>
    <x v="3"/>
    <x v="4"/>
    <x v="0"/>
    <x v="8"/>
  </r>
  <r>
    <x v="376"/>
    <x v="0"/>
    <x v="6"/>
    <x v="3"/>
    <x v="3"/>
    <x v="0"/>
    <x v="0"/>
    <x v="6"/>
  </r>
  <r>
    <x v="377"/>
    <x v="82"/>
    <x v="9"/>
    <x v="2"/>
    <x v="3"/>
    <x v="1"/>
    <x v="1"/>
    <x v="9"/>
  </r>
  <r>
    <x v="378"/>
    <x v="21"/>
    <x v="0"/>
    <x v="3"/>
    <x v="0"/>
    <x v="5"/>
    <x v="0"/>
    <x v="0"/>
  </r>
  <r>
    <x v="379"/>
    <x v="30"/>
    <x v="0"/>
    <x v="1"/>
    <x v="1"/>
    <x v="1"/>
    <x v="0"/>
    <x v="0"/>
  </r>
  <r>
    <x v="380"/>
    <x v="12"/>
    <x v="3"/>
    <x v="4"/>
    <x v="3"/>
    <x v="9"/>
    <x v="1"/>
    <x v="3"/>
  </r>
  <r>
    <x v="381"/>
    <x v="20"/>
    <x v="3"/>
    <x v="2"/>
    <x v="1"/>
    <x v="10"/>
    <x v="0"/>
    <x v="3"/>
  </r>
  <r>
    <x v="382"/>
    <x v="37"/>
    <x v="2"/>
    <x v="1"/>
    <x v="2"/>
    <x v="14"/>
    <x v="1"/>
    <x v="2"/>
  </r>
  <r>
    <x v="383"/>
    <x v="80"/>
    <x v="4"/>
    <x v="1"/>
    <x v="1"/>
    <x v="0"/>
    <x v="1"/>
    <x v="4"/>
  </r>
  <r>
    <x v="384"/>
    <x v="42"/>
    <x v="6"/>
    <x v="3"/>
    <x v="2"/>
    <x v="11"/>
    <x v="1"/>
    <x v="6"/>
  </r>
  <r>
    <x v="385"/>
    <x v="20"/>
    <x v="3"/>
    <x v="0"/>
    <x v="0"/>
    <x v="10"/>
    <x v="0"/>
    <x v="3"/>
  </r>
  <r>
    <x v="386"/>
    <x v="28"/>
    <x v="3"/>
    <x v="4"/>
    <x v="0"/>
    <x v="4"/>
    <x v="0"/>
    <x v="3"/>
  </r>
  <r>
    <x v="387"/>
    <x v="33"/>
    <x v="9"/>
    <x v="1"/>
    <x v="1"/>
    <x v="3"/>
    <x v="0"/>
    <x v="9"/>
  </r>
  <r>
    <x v="388"/>
    <x v="63"/>
    <x v="3"/>
    <x v="2"/>
    <x v="3"/>
    <x v="3"/>
    <x v="0"/>
    <x v="3"/>
  </r>
  <r>
    <x v="389"/>
    <x v="81"/>
    <x v="9"/>
    <x v="0"/>
    <x v="0"/>
    <x v="3"/>
    <x v="0"/>
    <x v="9"/>
  </r>
  <r>
    <x v="390"/>
    <x v="3"/>
    <x v="3"/>
    <x v="0"/>
    <x v="1"/>
    <x v="3"/>
    <x v="1"/>
    <x v="3"/>
  </r>
  <r>
    <x v="391"/>
    <x v="48"/>
    <x v="0"/>
    <x v="4"/>
    <x v="3"/>
    <x v="14"/>
    <x v="1"/>
    <x v="0"/>
  </r>
  <r>
    <x v="392"/>
    <x v="42"/>
    <x v="2"/>
    <x v="4"/>
    <x v="1"/>
    <x v="11"/>
    <x v="1"/>
    <x v="2"/>
  </r>
  <r>
    <x v="393"/>
    <x v="14"/>
    <x v="9"/>
    <x v="4"/>
    <x v="0"/>
    <x v="11"/>
    <x v="1"/>
    <x v="9"/>
  </r>
  <r>
    <x v="394"/>
    <x v="81"/>
    <x v="5"/>
    <x v="4"/>
    <x v="3"/>
    <x v="3"/>
    <x v="0"/>
    <x v="5"/>
  </r>
  <r>
    <x v="395"/>
    <x v="51"/>
    <x v="7"/>
    <x v="3"/>
    <x v="1"/>
    <x v="12"/>
    <x v="0"/>
    <x v="7"/>
  </r>
  <r>
    <x v="396"/>
    <x v="11"/>
    <x v="5"/>
    <x v="0"/>
    <x v="0"/>
    <x v="2"/>
    <x v="0"/>
    <x v="5"/>
  </r>
  <r>
    <x v="397"/>
    <x v="33"/>
    <x v="5"/>
    <x v="1"/>
    <x v="1"/>
    <x v="3"/>
    <x v="0"/>
    <x v="5"/>
  </r>
  <r>
    <x v="398"/>
    <x v="84"/>
    <x v="3"/>
    <x v="0"/>
    <x v="3"/>
    <x v="5"/>
    <x v="0"/>
    <x v="3"/>
  </r>
  <r>
    <x v="399"/>
    <x v="60"/>
    <x v="0"/>
    <x v="1"/>
    <x v="3"/>
    <x v="10"/>
    <x v="0"/>
    <x v="0"/>
  </r>
  <r>
    <x v="400"/>
    <x v="26"/>
    <x v="1"/>
    <x v="3"/>
    <x v="0"/>
    <x v="6"/>
    <x v="1"/>
    <x v="1"/>
  </r>
  <r>
    <x v="401"/>
    <x v="64"/>
    <x v="4"/>
    <x v="1"/>
    <x v="2"/>
    <x v="2"/>
    <x v="1"/>
    <x v="4"/>
  </r>
  <r>
    <x v="402"/>
    <x v="19"/>
    <x v="6"/>
    <x v="4"/>
    <x v="0"/>
    <x v="2"/>
    <x v="1"/>
    <x v="6"/>
  </r>
  <r>
    <x v="403"/>
    <x v="56"/>
    <x v="6"/>
    <x v="0"/>
    <x v="2"/>
    <x v="4"/>
    <x v="0"/>
    <x v="6"/>
  </r>
  <r>
    <x v="404"/>
    <x v="42"/>
    <x v="6"/>
    <x v="4"/>
    <x v="1"/>
    <x v="11"/>
    <x v="1"/>
    <x v="6"/>
  </r>
  <r>
    <x v="405"/>
    <x v="56"/>
    <x v="0"/>
    <x v="1"/>
    <x v="1"/>
    <x v="4"/>
    <x v="0"/>
    <x v="0"/>
  </r>
  <r>
    <x v="406"/>
    <x v="71"/>
    <x v="8"/>
    <x v="2"/>
    <x v="0"/>
    <x v="4"/>
    <x v="1"/>
    <x v="8"/>
  </r>
  <r>
    <x v="407"/>
    <x v="58"/>
    <x v="7"/>
    <x v="0"/>
    <x v="2"/>
    <x v="8"/>
    <x v="1"/>
    <x v="7"/>
  </r>
  <r>
    <x v="408"/>
    <x v="17"/>
    <x v="4"/>
    <x v="2"/>
    <x v="0"/>
    <x v="12"/>
    <x v="0"/>
    <x v="4"/>
  </r>
  <r>
    <x v="409"/>
    <x v="46"/>
    <x v="5"/>
    <x v="0"/>
    <x v="0"/>
    <x v="6"/>
    <x v="1"/>
    <x v="5"/>
  </r>
  <r>
    <x v="410"/>
    <x v="38"/>
    <x v="9"/>
    <x v="1"/>
    <x v="2"/>
    <x v="5"/>
    <x v="1"/>
    <x v="9"/>
  </r>
  <r>
    <x v="411"/>
    <x v="84"/>
    <x v="2"/>
    <x v="1"/>
    <x v="1"/>
    <x v="5"/>
    <x v="0"/>
    <x v="2"/>
  </r>
  <r>
    <x v="412"/>
    <x v="23"/>
    <x v="4"/>
    <x v="4"/>
    <x v="2"/>
    <x v="8"/>
    <x v="0"/>
    <x v="4"/>
  </r>
  <r>
    <x v="413"/>
    <x v="34"/>
    <x v="0"/>
    <x v="4"/>
    <x v="3"/>
    <x v="2"/>
    <x v="1"/>
    <x v="0"/>
  </r>
  <r>
    <x v="414"/>
    <x v="61"/>
    <x v="7"/>
    <x v="0"/>
    <x v="2"/>
    <x v="0"/>
    <x v="0"/>
    <x v="7"/>
  </r>
  <r>
    <x v="415"/>
    <x v="8"/>
    <x v="8"/>
    <x v="0"/>
    <x v="1"/>
    <x v="2"/>
    <x v="0"/>
    <x v="8"/>
  </r>
  <r>
    <x v="416"/>
    <x v="52"/>
    <x v="4"/>
    <x v="2"/>
    <x v="3"/>
    <x v="10"/>
    <x v="0"/>
    <x v="4"/>
  </r>
  <r>
    <x v="417"/>
    <x v="83"/>
    <x v="6"/>
    <x v="1"/>
    <x v="3"/>
    <x v="8"/>
    <x v="0"/>
    <x v="6"/>
  </r>
  <r>
    <x v="418"/>
    <x v="11"/>
    <x v="4"/>
    <x v="3"/>
    <x v="0"/>
    <x v="2"/>
    <x v="0"/>
    <x v="4"/>
  </r>
  <r>
    <x v="419"/>
    <x v="12"/>
    <x v="3"/>
    <x v="0"/>
    <x v="1"/>
    <x v="9"/>
    <x v="1"/>
    <x v="3"/>
  </r>
  <r>
    <x v="420"/>
    <x v="10"/>
    <x v="3"/>
    <x v="1"/>
    <x v="3"/>
    <x v="8"/>
    <x v="0"/>
    <x v="3"/>
  </r>
  <r>
    <x v="421"/>
    <x v="13"/>
    <x v="5"/>
    <x v="3"/>
    <x v="0"/>
    <x v="10"/>
    <x v="1"/>
    <x v="5"/>
  </r>
  <r>
    <x v="422"/>
    <x v="58"/>
    <x v="4"/>
    <x v="0"/>
    <x v="3"/>
    <x v="8"/>
    <x v="1"/>
    <x v="4"/>
  </r>
  <r>
    <x v="423"/>
    <x v="29"/>
    <x v="6"/>
    <x v="2"/>
    <x v="0"/>
    <x v="8"/>
    <x v="0"/>
    <x v="6"/>
  </r>
  <r>
    <x v="424"/>
    <x v="91"/>
    <x v="3"/>
    <x v="1"/>
    <x v="1"/>
    <x v="1"/>
    <x v="0"/>
    <x v="3"/>
  </r>
  <r>
    <x v="425"/>
    <x v="11"/>
    <x v="7"/>
    <x v="2"/>
    <x v="3"/>
    <x v="2"/>
    <x v="0"/>
    <x v="7"/>
  </r>
  <r>
    <x v="426"/>
    <x v="2"/>
    <x v="3"/>
    <x v="1"/>
    <x v="0"/>
    <x v="2"/>
    <x v="0"/>
    <x v="3"/>
  </r>
  <r>
    <x v="427"/>
    <x v="91"/>
    <x v="3"/>
    <x v="2"/>
    <x v="3"/>
    <x v="1"/>
    <x v="0"/>
    <x v="3"/>
  </r>
  <r>
    <x v="428"/>
    <x v="17"/>
    <x v="6"/>
    <x v="2"/>
    <x v="2"/>
    <x v="12"/>
    <x v="0"/>
    <x v="6"/>
  </r>
  <r>
    <x v="429"/>
    <x v="17"/>
    <x v="2"/>
    <x v="4"/>
    <x v="3"/>
    <x v="12"/>
    <x v="0"/>
    <x v="2"/>
  </r>
  <r>
    <x v="430"/>
    <x v="14"/>
    <x v="3"/>
    <x v="4"/>
    <x v="2"/>
    <x v="11"/>
    <x v="1"/>
    <x v="3"/>
  </r>
  <r>
    <x v="431"/>
    <x v="59"/>
    <x v="5"/>
    <x v="0"/>
    <x v="2"/>
    <x v="6"/>
    <x v="1"/>
    <x v="5"/>
  </r>
  <r>
    <x v="432"/>
    <x v="88"/>
    <x v="6"/>
    <x v="0"/>
    <x v="1"/>
    <x v="9"/>
    <x v="0"/>
    <x v="6"/>
  </r>
  <r>
    <x v="433"/>
    <x v="40"/>
    <x v="5"/>
    <x v="0"/>
    <x v="1"/>
    <x v="10"/>
    <x v="0"/>
    <x v="5"/>
  </r>
  <r>
    <x v="434"/>
    <x v="8"/>
    <x v="8"/>
    <x v="0"/>
    <x v="0"/>
    <x v="2"/>
    <x v="0"/>
    <x v="8"/>
  </r>
  <r>
    <x v="435"/>
    <x v="57"/>
    <x v="7"/>
    <x v="4"/>
    <x v="2"/>
    <x v="8"/>
    <x v="0"/>
    <x v="7"/>
  </r>
  <r>
    <x v="436"/>
    <x v="81"/>
    <x v="3"/>
    <x v="4"/>
    <x v="2"/>
    <x v="3"/>
    <x v="0"/>
    <x v="3"/>
  </r>
  <r>
    <x v="437"/>
    <x v="92"/>
    <x v="0"/>
    <x v="3"/>
    <x v="1"/>
    <x v="12"/>
    <x v="0"/>
    <x v="0"/>
  </r>
  <r>
    <x v="438"/>
    <x v="16"/>
    <x v="7"/>
    <x v="1"/>
    <x v="3"/>
    <x v="2"/>
    <x v="1"/>
    <x v="7"/>
  </r>
  <r>
    <x v="439"/>
    <x v="40"/>
    <x v="9"/>
    <x v="1"/>
    <x v="0"/>
    <x v="10"/>
    <x v="0"/>
    <x v="9"/>
  </r>
  <r>
    <x v="440"/>
    <x v="73"/>
    <x v="3"/>
    <x v="4"/>
    <x v="2"/>
    <x v="8"/>
    <x v="0"/>
    <x v="3"/>
  </r>
  <r>
    <x v="441"/>
    <x v="96"/>
    <x v="7"/>
    <x v="2"/>
    <x v="0"/>
    <x v="4"/>
    <x v="1"/>
    <x v="7"/>
  </r>
  <r>
    <x v="442"/>
    <x v="29"/>
    <x v="6"/>
    <x v="1"/>
    <x v="2"/>
    <x v="8"/>
    <x v="0"/>
    <x v="6"/>
  </r>
  <r>
    <x v="443"/>
    <x v="56"/>
    <x v="9"/>
    <x v="1"/>
    <x v="3"/>
    <x v="4"/>
    <x v="0"/>
    <x v="9"/>
  </r>
  <r>
    <x v="444"/>
    <x v="35"/>
    <x v="6"/>
    <x v="0"/>
    <x v="2"/>
    <x v="12"/>
    <x v="0"/>
    <x v="6"/>
  </r>
  <r>
    <x v="445"/>
    <x v="16"/>
    <x v="0"/>
    <x v="0"/>
    <x v="3"/>
    <x v="2"/>
    <x v="1"/>
    <x v="0"/>
  </r>
  <r>
    <x v="446"/>
    <x v="50"/>
    <x v="2"/>
    <x v="0"/>
    <x v="0"/>
    <x v="3"/>
    <x v="0"/>
    <x v="2"/>
  </r>
  <r>
    <x v="447"/>
    <x v="78"/>
    <x v="8"/>
    <x v="0"/>
    <x v="2"/>
    <x v="3"/>
    <x v="1"/>
    <x v="8"/>
  </r>
  <r>
    <x v="448"/>
    <x v="3"/>
    <x v="3"/>
    <x v="0"/>
    <x v="3"/>
    <x v="3"/>
    <x v="1"/>
    <x v="3"/>
  </r>
  <r>
    <x v="449"/>
    <x v="63"/>
    <x v="5"/>
    <x v="4"/>
    <x v="2"/>
    <x v="3"/>
    <x v="0"/>
    <x v="5"/>
  </r>
  <r>
    <x v="450"/>
    <x v="43"/>
    <x v="6"/>
    <x v="2"/>
    <x v="3"/>
    <x v="7"/>
    <x v="0"/>
    <x v="6"/>
  </r>
  <r>
    <x v="451"/>
    <x v="11"/>
    <x v="2"/>
    <x v="3"/>
    <x v="3"/>
    <x v="2"/>
    <x v="0"/>
    <x v="2"/>
  </r>
  <r>
    <x v="452"/>
    <x v="64"/>
    <x v="2"/>
    <x v="1"/>
    <x v="0"/>
    <x v="2"/>
    <x v="1"/>
    <x v="2"/>
  </r>
  <r>
    <x v="453"/>
    <x v="24"/>
    <x v="3"/>
    <x v="0"/>
    <x v="3"/>
    <x v="13"/>
    <x v="0"/>
    <x v="3"/>
  </r>
  <r>
    <x v="454"/>
    <x v="30"/>
    <x v="1"/>
    <x v="4"/>
    <x v="0"/>
    <x v="1"/>
    <x v="0"/>
    <x v="1"/>
  </r>
  <r>
    <x v="455"/>
    <x v="25"/>
    <x v="7"/>
    <x v="4"/>
    <x v="0"/>
    <x v="3"/>
    <x v="0"/>
    <x v="7"/>
  </r>
  <r>
    <x v="456"/>
    <x v="72"/>
    <x v="0"/>
    <x v="3"/>
    <x v="1"/>
    <x v="0"/>
    <x v="0"/>
    <x v="0"/>
  </r>
  <r>
    <x v="457"/>
    <x v="73"/>
    <x v="6"/>
    <x v="1"/>
    <x v="1"/>
    <x v="8"/>
    <x v="0"/>
    <x v="6"/>
  </r>
  <r>
    <x v="458"/>
    <x v="68"/>
    <x v="9"/>
    <x v="3"/>
    <x v="0"/>
    <x v="5"/>
    <x v="0"/>
    <x v="9"/>
  </r>
  <r>
    <x v="459"/>
    <x v="73"/>
    <x v="8"/>
    <x v="1"/>
    <x v="0"/>
    <x v="8"/>
    <x v="0"/>
    <x v="8"/>
  </r>
  <r>
    <x v="460"/>
    <x v="31"/>
    <x v="2"/>
    <x v="0"/>
    <x v="3"/>
    <x v="9"/>
    <x v="0"/>
    <x v="2"/>
  </r>
  <r>
    <x v="461"/>
    <x v="6"/>
    <x v="7"/>
    <x v="3"/>
    <x v="0"/>
    <x v="6"/>
    <x v="1"/>
    <x v="7"/>
  </r>
  <r>
    <x v="462"/>
    <x v="85"/>
    <x v="7"/>
    <x v="2"/>
    <x v="2"/>
    <x v="10"/>
    <x v="1"/>
    <x v="7"/>
  </r>
  <r>
    <x v="463"/>
    <x v="66"/>
    <x v="7"/>
    <x v="1"/>
    <x v="2"/>
    <x v="0"/>
    <x v="0"/>
    <x v="7"/>
  </r>
  <r>
    <x v="464"/>
    <x v="45"/>
    <x v="2"/>
    <x v="3"/>
    <x v="1"/>
    <x v="5"/>
    <x v="1"/>
    <x v="2"/>
  </r>
  <r>
    <x v="465"/>
    <x v="82"/>
    <x v="5"/>
    <x v="4"/>
    <x v="1"/>
    <x v="1"/>
    <x v="1"/>
    <x v="5"/>
  </r>
  <r>
    <x v="466"/>
    <x v="87"/>
    <x v="2"/>
    <x v="1"/>
    <x v="2"/>
    <x v="14"/>
    <x v="0"/>
    <x v="2"/>
  </r>
  <r>
    <x v="467"/>
    <x v="30"/>
    <x v="3"/>
    <x v="1"/>
    <x v="3"/>
    <x v="1"/>
    <x v="0"/>
    <x v="3"/>
  </r>
  <r>
    <x v="468"/>
    <x v="16"/>
    <x v="1"/>
    <x v="0"/>
    <x v="0"/>
    <x v="2"/>
    <x v="1"/>
    <x v="1"/>
  </r>
  <r>
    <x v="469"/>
    <x v="83"/>
    <x v="8"/>
    <x v="0"/>
    <x v="0"/>
    <x v="8"/>
    <x v="0"/>
    <x v="8"/>
  </r>
  <r>
    <x v="470"/>
    <x v="54"/>
    <x v="6"/>
    <x v="0"/>
    <x v="0"/>
    <x v="10"/>
    <x v="0"/>
    <x v="6"/>
  </r>
  <r>
    <x v="471"/>
    <x v="66"/>
    <x v="5"/>
    <x v="1"/>
    <x v="2"/>
    <x v="0"/>
    <x v="0"/>
    <x v="5"/>
  </r>
  <r>
    <x v="472"/>
    <x v="21"/>
    <x v="6"/>
    <x v="3"/>
    <x v="2"/>
    <x v="5"/>
    <x v="0"/>
    <x v="6"/>
  </r>
  <r>
    <x v="473"/>
    <x v="0"/>
    <x v="1"/>
    <x v="2"/>
    <x v="0"/>
    <x v="0"/>
    <x v="0"/>
    <x v="1"/>
  </r>
  <r>
    <x v="474"/>
    <x v="60"/>
    <x v="6"/>
    <x v="2"/>
    <x v="1"/>
    <x v="10"/>
    <x v="0"/>
    <x v="6"/>
  </r>
  <r>
    <x v="475"/>
    <x v="55"/>
    <x v="4"/>
    <x v="2"/>
    <x v="2"/>
    <x v="0"/>
    <x v="1"/>
    <x v="4"/>
  </r>
  <r>
    <x v="476"/>
    <x v="31"/>
    <x v="2"/>
    <x v="0"/>
    <x v="3"/>
    <x v="9"/>
    <x v="0"/>
    <x v="2"/>
  </r>
  <r>
    <x v="477"/>
    <x v="7"/>
    <x v="5"/>
    <x v="3"/>
    <x v="3"/>
    <x v="7"/>
    <x v="1"/>
    <x v="5"/>
  </r>
  <r>
    <x v="478"/>
    <x v="95"/>
    <x v="6"/>
    <x v="2"/>
    <x v="1"/>
    <x v="0"/>
    <x v="0"/>
    <x v="6"/>
  </r>
  <r>
    <x v="479"/>
    <x v="0"/>
    <x v="1"/>
    <x v="1"/>
    <x v="3"/>
    <x v="0"/>
    <x v="0"/>
    <x v="1"/>
  </r>
  <r>
    <x v="480"/>
    <x v="93"/>
    <x v="4"/>
    <x v="4"/>
    <x v="3"/>
    <x v="10"/>
    <x v="1"/>
    <x v="4"/>
  </r>
  <r>
    <x v="481"/>
    <x v="78"/>
    <x v="1"/>
    <x v="0"/>
    <x v="3"/>
    <x v="3"/>
    <x v="1"/>
    <x v="1"/>
  </r>
  <r>
    <x v="482"/>
    <x v="17"/>
    <x v="0"/>
    <x v="2"/>
    <x v="0"/>
    <x v="12"/>
    <x v="0"/>
    <x v="0"/>
  </r>
  <r>
    <x v="483"/>
    <x v="60"/>
    <x v="9"/>
    <x v="1"/>
    <x v="3"/>
    <x v="10"/>
    <x v="0"/>
    <x v="9"/>
  </r>
  <r>
    <x v="484"/>
    <x v="40"/>
    <x v="3"/>
    <x v="1"/>
    <x v="0"/>
    <x v="10"/>
    <x v="0"/>
    <x v="3"/>
  </r>
  <r>
    <x v="485"/>
    <x v="38"/>
    <x v="0"/>
    <x v="4"/>
    <x v="1"/>
    <x v="5"/>
    <x v="1"/>
    <x v="0"/>
  </r>
  <r>
    <x v="486"/>
    <x v="80"/>
    <x v="8"/>
    <x v="4"/>
    <x v="3"/>
    <x v="0"/>
    <x v="1"/>
    <x v="8"/>
  </r>
  <r>
    <x v="487"/>
    <x v="70"/>
    <x v="5"/>
    <x v="3"/>
    <x v="1"/>
    <x v="2"/>
    <x v="0"/>
    <x v="5"/>
  </r>
  <r>
    <x v="488"/>
    <x v="18"/>
    <x v="3"/>
    <x v="2"/>
    <x v="0"/>
    <x v="4"/>
    <x v="1"/>
    <x v="3"/>
  </r>
  <r>
    <x v="489"/>
    <x v="81"/>
    <x v="6"/>
    <x v="4"/>
    <x v="2"/>
    <x v="3"/>
    <x v="0"/>
    <x v="6"/>
  </r>
  <r>
    <x v="490"/>
    <x v="74"/>
    <x v="0"/>
    <x v="4"/>
    <x v="2"/>
    <x v="14"/>
    <x v="1"/>
    <x v="0"/>
  </r>
  <r>
    <x v="491"/>
    <x v="23"/>
    <x v="3"/>
    <x v="1"/>
    <x v="1"/>
    <x v="8"/>
    <x v="0"/>
    <x v="3"/>
  </r>
  <r>
    <x v="492"/>
    <x v="26"/>
    <x v="9"/>
    <x v="4"/>
    <x v="2"/>
    <x v="6"/>
    <x v="1"/>
    <x v="9"/>
  </r>
  <r>
    <x v="493"/>
    <x v="26"/>
    <x v="5"/>
    <x v="3"/>
    <x v="2"/>
    <x v="6"/>
    <x v="1"/>
    <x v="5"/>
  </r>
  <r>
    <x v="494"/>
    <x v="76"/>
    <x v="2"/>
    <x v="3"/>
    <x v="2"/>
    <x v="9"/>
    <x v="1"/>
    <x v="2"/>
  </r>
  <r>
    <x v="495"/>
    <x v="48"/>
    <x v="7"/>
    <x v="2"/>
    <x v="1"/>
    <x v="14"/>
    <x v="1"/>
    <x v="7"/>
  </r>
  <r>
    <x v="496"/>
    <x v="11"/>
    <x v="4"/>
    <x v="0"/>
    <x v="1"/>
    <x v="2"/>
    <x v="0"/>
    <x v="4"/>
  </r>
  <r>
    <x v="497"/>
    <x v="35"/>
    <x v="7"/>
    <x v="3"/>
    <x v="2"/>
    <x v="12"/>
    <x v="0"/>
    <x v="7"/>
  </r>
  <r>
    <x v="498"/>
    <x v="97"/>
    <x v="2"/>
    <x v="1"/>
    <x v="0"/>
    <x v="8"/>
    <x v="0"/>
    <x v="2"/>
  </r>
  <r>
    <x v="499"/>
    <x v="33"/>
    <x v="9"/>
    <x v="1"/>
    <x v="3"/>
    <x v="3"/>
    <x v="0"/>
    <x v="9"/>
  </r>
</pivotCacheRecords>
</file>

<file path=xl/pivotCache/pivotCacheRecords2.xml><?xml version="1.0" encoding="utf-8"?>
<pivotCacheRecords xmlns="http://schemas.openxmlformats.org/spreadsheetml/2006/main" xmlns:r="http://schemas.openxmlformats.org/officeDocument/2006/relationships" count="500">
  <r>
    <x v="0"/>
    <x v="0"/>
    <x v="0"/>
    <x v="0"/>
    <x v="0"/>
    <x v="0"/>
    <x v="0"/>
    <x v="0"/>
    <x v="0"/>
  </r>
  <r>
    <x v="1"/>
    <x v="1"/>
    <x v="1"/>
    <x v="1"/>
    <x v="1"/>
    <x v="1"/>
    <x v="0"/>
    <x v="1"/>
    <x v="0"/>
  </r>
  <r>
    <x v="2"/>
    <x v="2"/>
    <x v="0"/>
    <x v="2"/>
    <x v="2"/>
    <x v="2"/>
    <x v="0"/>
    <x v="0"/>
    <x v="1"/>
  </r>
  <r>
    <x v="3"/>
    <x v="3"/>
    <x v="2"/>
    <x v="2"/>
    <x v="0"/>
    <x v="3"/>
    <x v="1"/>
    <x v="2"/>
    <x v="2"/>
  </r>
  <r>
    <x v="4"/>
    <x v="4"/>
    <x v="0"/>
    <x v="1"/>
    <x v="3"/>
    <x v="4"/>
    <x v="0"/>
    <x v="0"/>
    <x v="0"/>
  </r>
  <r>
    <x v="5"/>
    <x v="5"/>
    <x v="1"/>
    <x v="0"/>
    <x v="3"/>
    <x v="5"/>
    <x v="0"/>
    <x v="1"/>
    <x v="2"/>
  </r>
  <r>
    <x v="6"/>
    <x v="6"/>
    <x v="3"/>
    <x v="1"/>
    <x v="3"/>
    <x v="6"/>
    <x v="1"/>
    <x v="3"/>
    <x v="2"/>
  </r>
  <r>
    <x v="7"/>
    <x v="4"/>
    <x v="1"/>
    <x v="0"/>
    <x v="0"/>
    <x v="4"/>
    <x v="0"/>
    <x v="1"/>
    <x v="0"/>
  </r>
  <r>
    <x v="8"/>
    <x v="7"/>
    <x v="2"/>
    <x v="3"/>
    <x v="1"/>
    <x v="7"/>
    <x v="1"/>
    <x v="2"/>
    <x v="3"/>
  </r>
  <r>
    <x v="9"/>
    <x v="8"/>
    <x v="4"/>
    <x v="0"/>
    <x v="3"/>
    <x v="2"/>
    <x v="0"/>
    <x v="4"/>
    <x v="1"/>
  </r>
  <r>
    <x v="10"/>
    <x v="9"/>
    <x v="5"/>
    <x v="4"/>
    <x v="1"/>
    <x v="7"/>
    <x v="0"/>
    <x v="5"/>
    <x v="3"/>
  </r>
  <r>
    <x v="11"/>
    <x v="10"/>
    <x v="5"/>
    <x v="2"/>
    <x v="3"/>
    <x v="8"/>
    <x v="0"/>
    <x v="5"/>
    <x v="4"/>
  </r>
  <r>
    <x v="12"/>
    <x v="11"/>
    <x v="4"/>
    <x v="3"/>
    <x v="0"/>
    <x v="2"/>
    <x v="0"/>
    <x v="4"/>
    <x v="2"/>
  </r>
  <r>
    <x v="13"/>
    <x v="12"/>
    <x v="4"/>
    <x v="3"/>
    <x v="3"/>
    <x v="9"/>
    <x v="1"/>
    <x v="4"/>
    <x v="2"/>
  </r>
  <r>
    <x v="14"/>
    <x v="13"/>
    <x v="6"/>
    <x v="3"/>
    <x v="3"/>
    <x v="10"/>
    <x v="1"/>
    <x v="6"/>
    <x v="3"/>
  </r>
  <r>
    <x v="15"/>
    <x v="14"/>
    <x v="2"/>
    <x v="1"/>
    <x v="3"/>
    <x v="11"/>
    <x v="1"/>
    <x v="2"/>
    <x v="1"/>
  </r>
  <r>
    <x v="16"/>
    <x v="15"/>
    <x v="2"/>
    <x v="4"/>
    <x v="0"/>
    <x v="5"/>
    <x v="0"/>
    <x v="2"/>
    <x v="4"/>
  </r>
  <r>
    <x v="17"/>
    <x v="16"/>
    <x v="4"/>
    <x v="1"/>
    <x v="0"/>
    <x v="2"/>
    <x v="1"/>
    <x v="4"/>
    <x v="3"/>
  </r>
  <r>
    <x v="18"/>
    <x v="17"/>
    <x v="5"/>
    <x v="0"/>
    <x v="2"/>
    <x v="12"/>
    <x v="0"/>
    <x v="5"/>
    <x v="2"/>
  </r>
  <r>
    <x v="19"/>
    <x v="18"/>
    <x v="7"/>
    <x v="0"/>
    <x v="3"/>
    <x v="4"/>
    <x v="1"/>
    <x v="7"/>
    <x v="4"/>
  </r>
  <r>
    <x v="20"/>
    <x v="19"/>
    <x v="4"/>
    <x v="4"/>
    <x v="3"/>
    <x v="2"/>
    <x v="1"/>
    <x v="4"/>
    <x v="0"/>
  </r>
  <r>
    <x v="21"/>
    <x v="20"/>
    <x v="8"/>
    <x v="1"/>
    <x v="0"/>
    <x v="10"/>
    <x v="0"/>
    <x v="8"/>
    <x v="0"/>
  </r>
  <r>
    <x v="22"/>
    <x v="21"/>
    <x v="8"/>
    <x v="2"/>
    <x v="1"/>
    <x v="5"/>
    <x v="0"/>
    <x v="8"/>
    <x v="1"/>
  </r>
  <r>
    <x v="23"/>
    <x v="22"/>
    <x v="3"/>
    <x v="4"/>
    <x v="3"/>
    <x v="12"/>
    <x v="0"/>
    <x v="3"/>
    <x v="3"/>
  </r>
  <r>
    <x v="24"/>
    <x v="23"/>
    <x v="0"/>
    <x v="0"/>
    <x v="0"/>
    <x v="8"/>
    <x v="0"/>
    <x v="0"/>
    <x v="4"/>
  </r>
  <r>
    <x v="25"/>
    <x v="24"/>
    <x v="9"/>
    <x v="3"/>
    <x v="1"/>
    <x v="13"/>
    <x v="0"/>
    <x v="9"/>
    <x v="2"/>
  </r>
  <r>
    <x v="26"/>
    <x v="25"/>
    <x v="8"/>
    <x v="4"/>
    <x v="1"/>
    <x v="3"/>
    <x v="0"/>
    <x v="8"/>
    <x v="2"/>
  </r>
  <r>
    <x v="27"/>
    <x v="26"/>
    <x v="4"/>
    <x v="4"/>
    <x v="0"/>
    <x v="6"/>
    <x v="1"/>
    <x v="4"/>
    <x v="0"/>
  </r>
  <r>
    <x v="28"/>
    <x v="27"/>
    <x v="4"/>
    <x v="1"/>
    <x v="2"/>
    <x v="4"/>
    <x v="0"/>
    <x v="4"/>
    <x v="0"/>
  </r>
  <r>
    <x v="29"/>
    <x v="25"/>
    <x v="9"/>
    <x v="3"/>
    <x v="1"/>
    <x v="3"/>
    <x v="0"/>
    <x v="9"/>
    <x v="2"/>
  </r>
  <r>
    <x v="30"/>
    <x v="28"/>
    <x v="4"/>
    <x v="2"/>
    <x v="0"/>
    <x v="4"/>
    <x v="0"/>
    <x v="4"/>
    <x v="1"/>
  </r>
  <r>
    <x v="31"/>
    <x v="1"/>
    <x v="3"/>
    <x v="1"/>
    <x v="1"/>
    <x v="1"/>
    <x v="0"/>
    <x v="3"/>
    <x v="0"/>
  </r>
  <r>
    <x v="32"/>
    <x v="29"/>
    <x v="0"/>
    <x v="3"/>
    <x v="2"/>
    <x v="8"/>
    <x v="0"/>
    <x v="0"/>
    <x v="4"/>
  </r>
  <r>
    <x v="33"/>
    <x v="30"/>
    <x v="8"/>
    <x v="4"/>
    <x v="3"/>
    <x v="1"/>
    <x v="0"/>
    <x v="8"/>
    <x v="4"/>
  </r>
  <r>
    <x v="34"/>
    <x v="31"/>
    <x v="8"/>
    <x v="4"/>
    <x v="2"/>
    <x v="9"/>
    <x v="0"/>
    <x v="8"/>
    <x v="2"/>
  </r>
  <r>
    <x v="35"/>
    <x v="18"/>
    <x v="8"/>
    <x v="2"/>
    <x v="2"/>
    <x v="4"/>
    <x v="1"/>
    <x v="8"/>
    <x v="4"/>
  </r>
  <r>
    <x v="36"/>
    <x v="32"/>
    <x v="2"/>
    <x v="2"/>
    <x v="3"/>
    <x v="9"/>
    <x v="0"/>
    <x v="2"/>
    <x v="1"/>
  </r>
  <r>
    <x v="37"/>
    <x v="33"/>
    <x v="3"/>
    <x v="1"/>
    <x v="0"/>
    <x v="3"/>
    <x v="0"/>
    <x v="3"/>
    <x v="1"/>
  </r>
  <r>
    <x v="38"/>
    <x v="5"/>
    <x v="8"/>
    <x v="3"/>
    <x v="3"/>
    <x v="5"/>
    <x v="0"/>
    <x v="8"/>
    <x v="2"/>
  </r>
  <r>
    <x v="39"/>
    <x v="34"/>
    <x v="2"/>
    <x v="0"/>
    <x v="3"/>
    <x v="2"/>
    <x v="1"/>
    <x v="2"/>
    <x v="2"/>
  </r>
  <r>
    <x v="40"/>
    <x v="35"/>
    <x v="1"/>
    <x v="2"/>
    <x v="0"/>
    <x v="12"/>
    <x v="0"/>
    <x v="1"/>
    <x v="4"/>
  </r>
  <r>
    <x v="41"/>
    <x v="36"/>
    <x v="4"/>
    <x v="2"/>
    <x v="0"/>
    <x v="14"/>
    <x v="1"/>
    <x v="4"/>
    <x v="1"/>
  </r>
  <r>
    <x v="42"/>
    <x v="37"/>
    <x v="4"/>
    <x v="1"/>
    <x v="3"/>
    <x v="14"/>
    <x v="1"/>
    <x v="4"/>
    <x v="4"/>
  </r>
  <r>
    <x v="43"/>
    <x v="35"/>
    <x v="8"/>
    <x v="1"/>
    <x v="1"/>
    <x v="12"/>
    <x v="0"/>
    <x v="8"/>
    <x v="4"/>
  </r>
  <r>
    <x v="44"/>
    <x v="19"/>
    <x v="4"/>
    <x v="1"/>
    <x v="1"/>
    <x v="2"/>
    <x v="1"/>
    <x v="4"/>
    <x v="0"/>
  </r>
  <r>
    <x v="45"/>
    <x v="38"/>
    <x v="5"/>
    <x v="1"/>
    <x v="2"/>
    <x v="5"/>
    <x v="1"/>
    <x v="5"/>
    <x v="0"/>
  </r>
  <r>
    <x v="46"/>
    <x v="39"/>
    <x v="6"/>
    <x v="0"/>
    <x v="2"/>
    <x v="9"/>
    <x v="0"/>
    <x v="6"/>
    <x v="3"/>
  </r>
  <r>
    <x v="47"/>
    <x v="40"/>
    <x v="3"/>
    <x v="4"/>
    <x v="0"/>
    <x v="10"/>
    <x v="0"/>
    <x v="3"/>
    <x v="0"/>
  </r>
  <r>
    <x v="48"/>
    <x v="41"/>
    <x v="0"/>
    <x v="0"/>
    <x v="2"/>
    <x v="7"/>
    <x v="0"/>
    <x v="0"/>
    <x v="4"/>
  </r>
  <r>
    <x v="49"/>
    <x v="41"/>
    <x v="7"/>
    <x v="1"/>
    <x v="3"/>
    <x v="7"/>
    <x v="0"/>
    <x v="7"/>
    <x v="4"/>
  </r>
  <r>
    <x v="50"/>
    <x v="0"/>
    <x v="4"/>
    <x v="2"/>
    <x v="2"/>
    <x v="0"/>
    <x v="0"/>
    <x v="4"/>
    <x v="0"/>
  </r>
  <r>
    <x v="51"/>
    <x v="42"/>
    <x v="5"/>
    <x v="4"/>
    <x v="1"/>
    <x v="11"/>
    <x v="1"/>
    <x v="5"/>
    <x v="3"/>
  </r>
  <r>
    <x v="52"/>
    <x v="43"/>
    <x v="5"/>
    <x v="4"/>
    <x v="1"/>
    <x v="7"/>
    <x v="0"/>
    <x v="5"/>
    <x v="4"/>
  </r>
  <r>
    <x v="53"/>
    <x v="44"/>
    <x v="4"/>
    <x v="2"/>
    <x v="2"/>
    <x v="12"/>
    <x v="1"/>
    <x v="4"/>
    <x v="1"/>
  </r>
  <r>
    <x v="54"/>
    <x v="45"/>
    <x v="7"/>
    <x v="0"/>
    <x v="2"/>
    <x v="5"/>
    <x v="1"/>
    <x v="7"/>
    <x v="1"/>
  </r>
  <r>
    <x v="55"/>
    <x v="46"/>
    <x v="0"/>
    <x v="1"/>
    <x v="3"/>
    <x v="6"/>
    <x v="1"/>
    <x v="0"/>
    <x v="2"/>
  </r>
  <r>
    <x v="56"/>
    <x v="47"/>
    <x v="4"/>
    <x v="0"/>
    <x v="2"/>
    <x v="8"/>
    <x v="0"/>
    <x v="4"/>
    <x v="2"/>
  </r>
  <r>
    <x v="57"/>
    <x v="48"/>
    <x v="1"/>
    <x v="1"/>
    <x v="1"/>
    <x v="14"/>
    <x v="1"/>
    <x v="1"/>
    <x v="4"/>
  </r>
  <r>
    <x v="58"/>
    <x v="49"/>
    <x v="3"/>
    <x v="3"/>
    <x v="3"/>
    <x v="5"/>
    <x v="1"/>
    <x v="3"/>
    <x v="0"/>
  </r>
  <r>
    <x v="59"/>
    <x v="50"/>
    <x v="1"/>
    <x v="3"/>
    <x v="1"/>
    <x v="3"/>
    <x v="0"/>
    <x v="1"/>
    <x v="0"/>
  </r>
  <r>
    <x v="60"/>
    <x v="25"/>
    <x v="0"/>
    <x v="3"/>
    <x v="0"/>
    <x v="3"/>
    <x v="0"/>
    <x v="0"/>
    <x v="2"/>
  </r>
  <r>
    <x v="61"/>
    <x v="34"/>
    <x v="9"/>
    <x v="1"/>
    <x v="1"/>
    <x v="2"/>
    <x v="1"/>
    <x v="9"/>
    <x v="2"/>
  </r>
  <r>
    <x v="62"/>
    <x v="51"/>
    <x v="0"/>
    <x v="1"/>
    <x v="3"/>
    <x v="12"/>
    <x v="0"/>
    <x v="0"/>
    <x v="1"/>
  </r>
  <r>
    <x v="63"/>
    <x v="33"/>
    <x v="6"/>
    <x v="2"/>
    <x v="1"/>
    <x v="3"/>
    <x v="0"/>
    <x v="6"/>
    <x v="1"/>
  </r>
  <r>
    <x v="64"/>
    <x v="28"/>
    <x v="9"/>
    <x v="0"/>
    <x v="1"/>
    <x v="4"/>
    <x v="0"/>
    <x v="9"/>
    <x v="1"/>
  </r>
  <r>
    <x v="65"/>
    <x v="7"/>
    <x v="7"/>
    <x v="0"/>
    <x v="2"/>
    <x v="7"/>
    <x v="1"/>
    <x v="7"/>
    <x v="3"/>
  </r>
  <r>
    <x v="66"/>
    <x v="43"/>
    <x v="0"/>
    <x v="3"/>
    <x v="0"/>
    <x v="7"/>
    <x v="0"/>
    <x v="0"/>
    <x v="4"/>
  </r>
  <r>
    <x v="67"/>
    <x v="52"/>
    <x v="2"/>
    <x v="4"/>
    <x v="1"/>
    <x v="10"/>
    <x v="0"/>
    <x v="2"/>
    <x v="0"/>
  </r>
  <r>
    <x v="68"/>
    <x v="51"/>
    <x v="7"/>
    <x v="0"/>
    <x v="2"/>
    <x v="12"/>
    <x v="0"/>
    <x v="7"/>
    <x v="1"/>
  </r>
  <r>
    <x v="69"/>
    <x v="53"/>
    <x v="6"/>
    <x v="3"/>
    <x v="3"/>
    <x v="7"/>
    <x v="0"/>
    <x v="6"/>
    <x v="3"/>
  </r>
  <r>
    <x v="70"/>
    <x v="54"/>
    <x v="4"/>
    <x v="1"/>
    <x v="1"/>
    <x v="10"/>
    <x v="0"/>
    <x v="4"/>
    <x v="4"/>
  </r>
  <r>
    <x v="71"/>
    <x v="9"/>
    <x v="6"/>
    <x v="1"/>
    <x v="0"/>
    <x v="7"/>
    <x v="0"/>
    <x v="6"/>
    <x v="3"/>
  </r>
  <r>
    <x v="72"/>
    <x v="9"/>
    <x v="9"/>
    <x v="4"/>
    <x v="3"/>
    <x v="7"/>
    <x v="0"/>
    <x v="9"/>
    <x v="3"/>
  </r>
  <r>
    <x v="73"/>
    <x v="17"/>
    <x v="3"/>
    <x v="1"/>
    <x v="2"/>
    <x v="12"/>
    <x v="0"/>
    <x v="3"/>
    <x v="2"/>
  </r>
  <r>
    <x v="74"/>
    <x v="9"/>
    <x v="5"/>
    <x v="0"/>
    <x v="3"/>
    <x v="7"/>
    <x v="0"/>
    <x v="5"/>
    <x v="3"/>
  </r>
  <r>
    <x v="75"/>
    <x v="25"/>
    <x v="1"/>
    <x v="0"/>
    <x v="2"/>
    <x v="3"/>
    <x v="0"/>
    <x v="1"/>
    <x v="2"/>
  </r>
  <r>
    <x v="76"/>
    <x v="25"/>
    <x v="8"/>
    <x v="4"/>
    <x v="2"/>
    <x v="3"/>
    <x v="0"/>
    <x v="8"/>
    <x v="2"/>
  </r>
  <r>
    <x v="77"/>
    <x v="47"/>
    <x v="7"/>
    <x v="1"/>
    <x v="3"/>
    <x v="8"/>
    <x v="0"/>
    <x v="7"/>
    <x v="2"/>
  </r>
  <r>
    <x v="78"/>
    <x v="45"/>
    <x v="8"/>
    <x v="2"/>
    <x v="3"/>
    <x v="5"/>
    <x v="1"/>
    <x v="8"/>
    <x v="1"/>
  </r>
  <r>
    <x v="79"/>
    <x v="55"/>
    <x v="6"/>
    <x v="0"/>
    <x v="3"/>
    <x v="0"/>
    <x v="1"/>
    <x v="6"/>
    <x v="1"/>
  </r>
  <r>
    <x v="80"/>
    <x v="29"/>
    <x v="7"/>
    <x v="4"/>
    <x v="0"/>
    <x v="8"/>
    <x v="0"/>
    <x v="7"/>
    <x v="4"/>
  </r>
  <r>
    <x v="81"/>
    <x v="44"/>
    <x v="0"/>
    <x v="1"/>
    <x v="2"/>
    <x v="12"/>
    <x v="1"/>
    <x v="0"/>
    <x v="1"/>
  </r>
  <r>
    <x v="82"/>
    <x v="29"/>
    <x v="0"/>
    <x v="1"/>
    <x v="2"/>
    <x v="8"/>
    <x v="0"/>
    <x v="0"/>
    <x v="4"/>
  </r>
  <r>
    <x v="83"/>
    <x v="32"/>
    <x v="7"/>
    <x v="3"/>
    <x v="3"/>
    <x v="9"/>
    <x v="0"/>
    <x v="7"/>
    <x v="1"/>
  </r>
  <r>
    <x v="84"/>
    <x v="50"/>
    <x v="4"/>
    <x v="2"/>
    <x v="3"/>
    <x v="3"/>
    <x v="0"/>
    <x v="4"/>
    <x v="0"/>
  </r>
  <r>
    <x v="85"/>
    <x v="53"/>
    <x v="5"/>
    <x v="0"/>
    <x v="2"/>
    <x v="7"/>
    <x v="0"/>
    <x v="5"/>
    <x v="3"/>
  </r>
  <r>
    <x v="86"/>
    <x v="18"/>
    <x v="3"/>
    <x v="0"/>
    <x v="2"/>
    <x v="4"/>
    <x v="1"/>
    <x v="3"/>
    <x v="4"/>
  </r>
  <r>
    <x v="87"/>
    <x v="49"/>
    <x v="3"/>
    <x v="0"/>
    <x v="3"/>
    <x v="5"/>
    <x v="1"/>
    <x v="3"/>
    <x v="0"/>
  </r>
  <r>
    <x v="88"/>
    <x v="1"/>
    <x v="8"/>
    <x v="0"/>
    <x v="3"/>
    <x v="1"/>
    <x v="0"/>
    <x v="8"/>
    <x v="0"/>
  </r>
  <r>
    <x v="89"/>
    <x v="48"/>
    <x v="0"/>
    <x v="3"/>
    <x v="0"/>
    <x v="14"/>
    <x v="1"/>
    <x v="0"/>
    <x v="4"/>
  </r>
  <r>
    <x v="90"/>
    <x v="56"/>
    <x v="1"/>
    <x v="4"/>
    <x v="0"/>
    <x v="4"/>
    <x v="0"/>
    <x v="1"/>
    <x v="4"/>
  </r>
  <r>
    <x v="91"/>
    <x v="16"/>
    <x v="0"/>
    <x v="1"/>
    <x v="3"/>
    <x v="2"/>
    <x v="1"/>
    <x v="0"/>
    <x v="3"/>
  </r>
  <r>
    <x v="92"/>
    <x v="57"/>
    <x v="5"/>
    <x v="4"/>
    <x v="3"/>
    <x v="8"/>
    <x v="0"/>
    <x v="5"/>
    <x v="2"/>
  </r>
  <r>
    <x v="93"/>
    <x v="58"/>
    <x v="0"/>
    <x v="0"/>
    <x v="0"/>
    <x v="8"/>
    <x v="1"/>
    <x v="0"/>
    <x v="2"/>
  </r>
  <r>
    <x v="94"/>
    <x v="12"/>
    <x v="9"/>
    <x v="0"/>
    <x v="1"/>
    <x v="9"/>
    <x v="1"/>
    <x v="9"/>
    <x v="2"/>
  </r>
  <r>
    <x v="95"/>
    <x v="59"/>
    <x v="3"/>
    <x v="2"/>
    <x v="3"/>
    <x v="6"/>
    <x v="1"/>
    <x v="3"/>
    <x v="2"/>
  </r>
  <r>
    <x v="96"/>
    <x v="11"/>
    <x v="7"/>
    <x v="4"/>
    <x v="3"/>
    <x v="2"/>
    <x v="0"/>
    <x v="7"/>
    <x v="2"/>
  </r>
  <r>
    <x v="97"/>
    <x v="1"/>
    <x v="9"/>
    <x v="1"/>
    <x v="1"/>
    <x v="1"/>
    <x v="0"/>
    <x v="9"/>
    <x v="0"/>
  </r>
  <r>
    <x v="98"/>
    <x v="54"/>
    <x v="5"/>
    <x v="0"/>
    <x v="2"/>
    <x v="10"/>
    <x v="0"/>
    <x v="5"/>
    <x v="4"/>
  </r>
  <r>
    <x v="99"/>
    <x v="60"/>
    <x v="8"/>
    <x v="0"/>
    <x v="0"/>
    <x v="10"/>
    <x v="0"/>
    <x v="8"/>
    <x v="2"/>
  </r>
  <r>
    <x v="100"/>
    <x v="61"/>
    <x v="2"/>
    <x v="1"/>
    <x v="1"/>
    <x v="0"/>
    <x v="0"/>
    <x v="2"/>
    <x v="1"/>
  </r>
  <r>
    <x v="101"/>
    <x v="37"/>
    <x v="4"/>
    <x v="1"/>
    <x v="1"/>
    <x v="14"/>
    <x v="1"/>
    <x v="4"/>
    <x v="4"/>
  </r>
  <r>
    <x v="102"/>
    <x v="62"/>
    <x v="7"/>
    <x v="2"/>
    <x v="0"/>
    <x v="7"/>
    <x v="0"/>
    <x v="7"/>
    <x v="2"/>
  </r>
  <r>
    <x v="103"/>
    <x v="51"/>
    <x v="2"/>
    <x v="3"/>
    <x v="0"/>
    <x v="12"/>
    <x v="0"/>
    <x v="2"/>
    <x v="1"/>
  </r>
  <r>
    <x v="104"/>
    <x v="63"/>
    <x v="3"/>
    <x v="1"/>
    <x v="0"/>
    <x v="3"/>
    <x v="0"/>
    <x v="3"/>
    <x v="3"/>
  </r>
  <r>
    <x v="105"/>
    <x v="28"/>
    <x v="3"/>
    <x v="1"/>
    <x v="2"/>
    <x v="4"/>
    <x v="0"/>
    <x v="3"/>
    <x v="1"/>
  </r>
  <r>
    <x v="106"/>
    <x v="64"/>
    <x v="2"/>
    <x v="4"/>
    <x v="2"/>
    <x v="2"/>
    <x v="1"/>
    <x v="2"/>
    <x v="4"/>
  </r>
  <r>
    <x v="107"/>
    <x v="65"/>
    <x v="5"/>
    <x v="4"/>
    <x v="1"/>
    <x v="5"/>
    <x v="1"/>
    <x v="5"/>
    <x v="0"/>
  </r>
  <r>
    <x v="108"/>
    <x v="17"/>
    <x v="1"/>
    <x v="2"/>
    <x v="0"/>
    <x v="12"/>
    <x v="0"/>
    <x v="1"/>
    <x v="2"/>
  </r>
  <r>
    <x v="109"/>
    <x v="55"/>
    <x v="1"/>
    <x v="2"/>
    <x v="0"/>
    <x v="0"/>
    <x v="1"/>
    <x v="1"/>
    <x v="1"/>
  </r>
  <r>
    <x v="110"/>
    <x v="66"/>
    <x v="3"/>
    <x v="3"/>
    <x v="0"/>
    <x v="0"/>
    <x v="0"/>
    <x v="3"/>
    <x v="2"/>
  </r>
  <r>
    <x v="111"/>
    <x v="39"/>
    <x v="4"/>
    <x v="1"/>
    <x v="2"/>
    <x v="9"/>
    <x v="0"/>
    <x v="4"/>
    <x v="3"/>
  </r>
  <r>
    <x v="112"/>
    <x v="67"/>
    <x v="7"/>
    <x v="2"/>
    <x v="3"/>
    <x v="14"/>
    <x v="0"/>
    <x v="7"/>
    <x v="2"/>
  </r>
  <r>
    <x v="113"/>
    <x v="59"/>
    <x v="2"/>
    <x v="1"/>
    <x v="1"/>
    <x v="6"/>
    <x v="1"/>
    <x v="2"/>
    <x v="2"/>
  </r>
  <r>
    <x v="114"/>
    <x v="68"/>
    <x v="0"/>
    <x v="0"/>
    <x v="0"/>
    <x v="5"/>
    <x v="0"/>
    <x v="0"/>
    <x v="1"/>
  </r>
  <r>
    <x v="115"/>
    <x v="69"/>
    <x v="1"/>
    <x v="4"/>
    <x v="0"/>
    <x v="14"/>
    <x v="1"/>
    <x v="1"/>
    <x v="0"/>
  </r>
  <r>
    <x v="116"/>
    <x v="6"/>
    <x v="9"/>
    <x v="0"/>
    <x v="0"/>
    <x v="6"/>
    <x v="1"/>
    <x v="9"/>
    <x v="2"/>
  </r>
  <r>
    <x v="117"/>
    <x v="70"/>
    <x v="7"/>
    <x v="2"/>
    <x v="3"/>
    <x v="2"/>
    <x v="0"/>
    <x v="7"/>
    <x v="3"/>
  </r>
  <r>
    <x v="118"/>
    <x v="8"/>
    <x v="5"/>
    <x v="0"/>
    <x v="2"/>
    <x v="2"/>
    <x v="0"/>
    <x v="5"/>
    <x v="1"/>
  </r>
  <r>
    <x v="119"/>
    <x v="63"/>
    <x v="8"/>
    <x v="0"/>
    <x v="2"/>
    <x v="3"/>
    <x v="0"/>
    <x v="8"/>
    <x v="3"/>
  </r>
  <r>
    <x v="120"/>
    <x v="71"/>
    <x v="3"/>
    <x v="4"/>
    <x v="2"/>
    <x v="4"/>
    <x v="1"/>
    <x v="3"/>
    <x v="2"/>
  </r>
  <r>
    <x v="121"/>
    <x v="64"/>
    <x v="1"/>
    <x v="4"/>
    <x v="1"/>
    <x v="2"/>
    <x v="1"/>
    <x v="1"/>
    <x v="4"/>
  </r>
  <r>
    <x v="122"/>
    <x v="9"/>
    <x v="6"/>
    <x v="4"/>
    <x v="3"/>
    <x v="7"/>
    <x v="0"/>
    <x v="6"/>
    <x v="3"/>
  </r>
  <r>
    <x v="123"/>
    <x v="4"/>
    <x v="1"/>
    <x v="2"/>
    <x v="1"/>
    <x v="4"/>
    <x v="0"/>
    <x v="1"/>
    <x v="0"/>
  </r>
  <r>
    <x v="124"/>
    <x v="38"/>
    <x v="2"/>
    <x v="4"/>
    <x v="1"/>
    <x v="5"/>
    <x v="1"/>
    <x v="2"/>
    <x v="0"/>
  </r>
  <r>
    <x v="125"/>
    <x v="38"/>
    <x v="9"/>
    <x v="1"/>
    <x v="2"/>
    <x v="5"/>
    <x v="1"/>
    <x v="9"/>
    <x v="0"/>
  </r>
  <r>
    <x v="126"/>
    <x v="5"/>
    <x v="9"/>
    <x v="4"/>
    <x v="2"/>
    <x v="5"/>
    <x v="0"/>
    <x v="9"/>
    <x v="2"/>
  </r>
  <r>
    <x v="127"/>
    <x v="72"/>
    <x v="8"/>
    <x v="3"/>
    <x v="2"/>
    <x v="0"/>
    <x v="0"/>
    <x v="8"/>
    <x v="2"/>
  </r>
  <r>
    <x v="128"/>
    <x v="3"/>
    <x v="4"/>
    <x v="0"/>
    <x v="3"/>
    <x v="3"/>
    <x v="1"/>
    <x v="4"/>
    <x v="2"/>
  </r>
  <r>
    <x v="129"/>
    <x v="0"/>
    <x v="1"/>
    <x v="2"/>
    <x v="3"/>
    <x v="0"/>
    <x v="0"/>
    <x v="1"/>
    <x v="0"/>
  </r>
  <r>
    <x v="130"/>
    <x v="73"/>
    <x v="8"/>
    <x v="0"/>
    <x v="2"/>
    <x v="8"/>
    <x v="0"/>
    <x v="8"/>
    <x v="1"/>
  </r>
  <r>
    <x v="131"/>
    <x v="38"/>
    <x v="3"/>
    <x v="3"/>
    <x v="2"/>
    <x v="5"/>
    <x v="1"/>
    <x v="3"/>
    <x v="0"/>
  </r>
  <r>
    <x v="132"/>
    <x v="23"/>
    <x v="6"/>
    <x v="0"/>
    <x v="3"/>
    <x v="8"/>
    <x v="0"/>
    <x v="6"/>
    <x v="4"/>
  </r>
  <r>
    <x v="133"/>
    <x v="74"/>
    <x v="4"/>
    <x v="4"/>
    <x v="1"/>
    <x v="14"/>
    <x v="1"/>
    <x v="4"/>
    <x v="0"/>
  </r>
  <r>
    <x v="134"/>
    <x v="53"/>
    <x v="3"/>
    <x v="1"/>
    <x v="2"/>
    <x v="7"/>
    <x v="0"/>
    <x v="3"/>
    <x v="3"/>
  </r>
  <r>
    <x v="135"/>
    <x v="61"/>
    <x v="0"/>
    <x v="4"/>
    <x v="3"/>
    <x v="0"/>
    <x v="0"/>
    <x v="0"/>
    <x v="1"/>
  </r>
  <r>
    <x v="136"/>
    <x v="13"/>
    <x v="8"/>
    <x v="1"/>
    <x v="1"/>
    <x v="10"/>
    <x v="1"/>
    <x v="8"/>
    <x v="3"/>
  </r>
  <r>
    <x v="137"/>
    <x v="19"/>
    <x v="2"/>
    <x v="4"/>
    <x v="0"/>
    <x v="2"/>
    <x v="1"/>
    <x v="2"/>
    <x v="0"/>
  </r>
  <r>
    <x v="138"/>
    <x v="22"/>
    <x v="8"/>
    <x v="1"/>
    <x v="1"/>
    <x v="12"/>
    <x v="0"/>
    <x v="8"/>
    <x v="3"/>
  </r>
  <r>
    <x v="139"/>
    <x v="4"/>
    <x v="5"/>
    <x v="2"/>
    <x v="0"/>
    <x v="4"/>
    <x v="0"/>
    <x v="5"/>
    <x v="0"/>
  </r>
  <r>
    <x v="140"/>
    <x v="65"/>
    <x v="3"/>
    <x v="3"/>
    <x v="2"/>
    <x v="5"/>
    <x v="1"/>
    <x v="3"/>
    <x v="0"/>
  </r>
  <r>
    <x v="141"/>
    <x v="23"/>
    <x v="0"/>
    <x v="3"/>
    <x v="2"/>
    <x v="8"/>
    <x v="0"/>
    <x v="0"/>
    <x v="4"/>
  </r>
  <r>
    <x v="142"/>
    <x v="63"/>
    <x v="9"/>
    <x v="1"/>
    <x v="3"/>
    <x v="3"/>
    <x v="0"/>
    <x v="9"/>
    <x v="3"/>
  </r>
  <r>
    <x v="143"/>
    <x v="21"/>
    <x v="2"/>
    <x v="1"/>
    <x v="2"/>
    <x v="5"/>
    <x v="0"/>
    <x v="2"/>
    <x v="1"/>
  </r>
  <r>
    <x v="144"/>
    <x v="2"/>
    <x v="0"/>
    <x v="1"/>
    <x v="0"/>
    <x v="2"/>
    <x v="0"/>
    <x v="0"/>
    <x v="1"/>
  </r>
  <r>
    <x v="145"/>
    <x v="10"/>
    <x v="0"/>
    <x v="4"/>
    <x v="0"/>
    <x v="8"/>
    <x v="0"/>
    <x v="0"/>
    <x v="4"/>
  </r>
  <r>
    <x v="146"/>
    <x v="37"/>
    <x v="2"/>
    <x v="1"/>
    <x v="3"/>
    <x v="14"/>
    <x v="1"/>
    <x v="2"/>
    <x v="4"/>
  </r>
  <r>
    <x v="147"/>
    <x v="14"/>
    <x v="2"/>
    <x v="3"/>
    <x v="3"/>
    <x v="11"/>
    <x v="1"/>
    <x v="2"/>
    <x v="1"/>
  </r>
  <r>
    <x v="148"/>
    <x v="57"/>
    <x v="2"/>
    <x v="4"/>
    <x v="2"/>
    <x v="8"/>
    <x v="0"/>
    <x v="2"/>
    <x v="2"/>
  </r>
  <r>
    <x v="149"/>
    <x v="75"/>
    <x v="8"/>
    <x v="4"/>
    <x v="2"/>
    <x v="11"/>
    <x v="1"/>
    <x v="8"/>
    <x v="2"/>
  </r>
  <r>
    <x v="150"/>
    <x v="3"/>
    <x v="6"/>
    <x v="4"/>
    <x v="2"/>
    <x v="3"/>
    <x v="1"/>
    <x v="6"/>
    <x v="2"/>
  </r>
  <r>
    <x v="151"/>
    <x v="26"/>
    <x v="6"/>
    <x v="2"/>
    <x v="0"/>
    <x v="6"/>
    <x v="1"/>
    <x v="6"/>
    <x v="0"/>
  </r>
  <r>
    <x v="152"/>
    <x v="62"/>
    <x v="4"/>
    <x v="2"/>
    <x v="2"/>
    <x v="7"/>
    <x v="0"/>
    <x v="4"/>
    <x v="2"/>
  </r>
  <r>
    <x v="153"/>
    <x v="11"/>
    <x v="6"/>
    <x v="1"/>
    <x v="2"/>
    <x v="2"/>
    <x v="0"/>
    <x v="6"/>
    <x v="2"/>
  </r>
  <r>
    <x v="154"/>
    <x v="10"/>
    <x v="9"/>
    <x v="1"/>
    <x v="1"/>
    <x v="8"/>
    <x v="0"/>
    <x v="9"/>
    <x v="4"/>
  </r>
  <r>
    <x v="155"/>
    <x v="42"/>
    <x v="3"/>
    <x v="4"/>
    <x v="3"/>
    <x v="11"/>
    <x v="1"/>
    <x v="3"/>
    <x v="3"/>
  </r>
  <r>
    <x v="156"/>
    <x v="58"/>
    <x v="8"/>
    <x v="3"/>
    <x v="2"/>
    <x v="8"/>
    <x v="1"/>
    <x v="8"/>
    <x v="2"/>
  </r>
  <r>
    <x v="157"/>
    <x v="54"/>
    <x v="9"/>
    <x v="1"/>
    <x v="0"/>
    <x v="10"/>
    <x v="0"/>
    <x v="9"/>
    <x v="4"/>
  </r>
  <r>
    <x v="158"/>
    <x v="70"/>
    <x v="8"/>
    <x v="0"/>
    <x v="3"/>
    <x v="2"/>
    <x v="0"/>
    <x v="8"/>
    <x v="3"/>
  </r>
  <r>
    <x v="159"/>
    <x v="13"/>
    <x v="4"/>
    <x v="3"/>
    <x v="3"/>
    <x v="10"/>
    <x v="1"/>
    <x v="4"/>
    <x v="3"/>
  </r>
  <r>
    <x v="160"/>
    <x v="76"/>
    <x v="3"/>
    <x v="1"/>
    <x v="3"/>
    <x v="9"/>
    <x v="1"/>
    <x v="3"/>
    <x v="3"/>
  </r>
  <r>
    <x v="161"/>
    <x v="77"/>
    <x v="8"/>
    <x v="4"/>
    <x v="1"/>
    <x v="5"/>
    <x v="0"/>
    <x v="8"/>
    <x v="3"/>
  </r>
  <r>
    <x v="162"/>
    <x v="13"/>
    <x v="1"/>
    <x v="2"/>
    <x v="3"/>
    <x v="10"/>
    <x v="1"/>
    <x v="1"/>
    <x v="3"/>
  </r>
  <r>
    <x v="163"/>
    <x v="36"/>
    <x v="1"/>
    <x v="1"/>
    <x v="1"/>
    <x v="14"/>
    <x v="1"/>
    <x v="1"/>
    <x v="1"/>
  </r>
  <r>
    <x v="164"/>
    <x v="38"/>
    <x v="1"/>
    <x v="1"/>
    <x v="0"/>
    <x v="5"/>
    <x v="1"/>
    <x v="1"/>
    <x v="0"/>
  </r>
  <r>
    <x v="165"/>
    <x v="78"/>
    <x v="2"/>
    <x v="3"/>
    <x v="1"/>
    <x v="3"/>
    <x v="1"/>
    <x v="2"/>
    <x v="4"/>
  </r>
  <r>
    <x v="166"/>
    <x v="46"/>
    <x v="7"/>
    <x v="0"/>
    <x v="3"/>
    <x v="6"/>
    <x v="1"/>
    <x v="7"/>
    <x v="2"/>
  </r>
  <r>
    <x v="167"/>
    <x v="79"/>
    <x v="4"/>
    <x v="2"/>
    <x v="0"/>
    <x v="11"/>
    <x v="0"/>
    <x v="4"/>
    <x v="0"/>
  </r>
  <r>
    <x v="168"/>
    <x v="80"/>
    <x v="4"/>
    <x v="4"/>
    <x v="0"/>
    <x v="0"/>
    <x v="1"/>
    <x v="4"/>
    <x v="0"/>
  </r>
  <r>
    <x v="169"/>
    <x v="81"/>
    <x v="9"/>
    <x v="3"/>
    <x v="2"/>
    <x v="3"/>
    <x v="0"/>
    <x v="9"/>
    <x v="1"/>
  </r>
  <r>
    <x v="170"/>
    <x v="13"/>
    <x v="0"/>
    <x v="1"/>
    <x v="0"/>
    <x v="10"/>
    <x v="1"/>
    <x v="0"/>
    <x v="3"/>
  </r>
  <r>
    <x v="171"/>
    <x v="36"/>
    <x v="8"/>
    <x v="0"/>
    <x v="2"/>
    <x v="14"/>
    <x v="1"/>
    <x v="8"/>
    <x v="1"/>
  </r>
  <r>
    <x v="172"/>
    <x v="48"/>
    <x v="7"/>
    <x v="1"/>
    <x v="3"/>
    <x v="14"/>
    <x v="1"/>
    <x v="7"/>
    <x v="4"/>
  </r>
  <r>
    <x v="173"/>
    <x v="76"/>
    <x v="3"/>
    <x v="2"/>
    <x v="1"/>
    <x v="9"/>
    <x v="1"/>
    <x v="3"/>
    <x v="3"/>
  </r>
  <r>
    <x v="174"/>
    <x v="64"/>
    <x v="6"/>
    <x v="4"/>
    <x v="3"/>
    <x v="2"/>
    <x v="1"/>
    <x v="6"/>
    <x v="4"/>
  </r>
  <r>
    <x v="175"/>
    <x v="72"/>
    <x v="4"/>
    <x v="0"/>
    <x v="2"/>
    <x v="0"/>
    <x v="0"/>
    <x v="4"/>
    <x v="2"/>
  </r>
  <r>
    <x v="176"/>
    <x v="82"/>
    <x v="0"/>
    <x v="1"/>
    <x v="2"/>
    <x v="1"/>
    <x v="1"/>
    <x v="0"/>
    <x v="4"/>
  </r>
  <r>
    <x v="177"/>
    <x v="52"/>
    <x v="0"/>
    <x v="1"/>
    <x v="3"/>
    <x v="10"/>
    <x v="0"/>
    <x v="0"/>
    <x v="0"/>
  </r>
  <r>
    <x v="178"/>
    <x v="62"/>
    <x v="2"/>
    <x v="0"/>
    <x v="1"/>
    <x v="7"/>
    <x v="0"/>
    <x v="2"/>
    <x v="2"/>
  </r>
  <r>
    <x v="179"/>
    <x v="53"/>
    <x v="4"/>
    <x v="0"/>
    <x v="1"/>
    <x v="7"/>
    <x v="0"/>
    <x v="4"/>
    <x v="3"/>
  </r>
  <r>
    <x v="180"/>
    <x v="51"/>
    <x v="7"/>
    <x v="4"/>
    <x v="2"/>
    <x v="12"/>
    <x v="0"/>
    <x v="7"/>
    <x v="1"/>
  </r>
  <r>
    <x v="181"/>
    <x v="22"/>
    <x v="0"/>
    <x v="4"/>
    <x v="3"/>
    <x v="12"/>
    <x v="0"/>
    <x v="0"/>
    <x v="3"/>
  </r>
  <r>
    <x v="182"/>
    <x v="50"/>
    <x v="0"/>
    <x v="4"/>
    <x v="3"/>
    <x v="3"/>
    <x v="0"/>
    <x v="0"/>
    <x v="0"/>
  </r>
  <r>
    <x v="183"/>
    <x v="76"/>
    <x v="9"/>
    <x v="3"/>
    <x v="1"/>
    <x v="9"/>
    <x v="1"/>
    <x v="9"/>
    <x v="3"/>
  </r>
  <r>
    <x v="184"/>
    <x v="65"/>
    <x v="8"/>
    <x v="3"/>
    <x v="3"/>
    <x v="5"/>
    <x v="1"/>
    <x v="8"/>
    <x v="0"/>
  </r>
  <r>
    <x v="185"/>
    <x v="83"/>
    <x v="9"/>
    <x v="3"/>
    <x v="3"/>
    <x v="8"/>
    <x v="0"/>
    <x v="9"/>
    <x v="0"/>
  </r>
  <r>
    <x v="186"/>
    <x v="46"/>
    <x v="4"/>
    <x v="2"/>
    <x v="0"/>
    <x v="6"/>
    <x v="1"/>
    <x v="4"/>
    <x v="2"/>
  </r>
  <r>
    <x v="187"/>
    <x v="42"/>
    <x v="3"/>
    <x v="0"/>
    <x v="3"/>
    <x v="11"/>
    <x v="1"/>
    <x v="3"/>
    <x v="3"/>
  </r>
  <r>
    <x v="188"/>
    <x v="81"/>
    <x v="2"/>
    <x v="1"/>
    <x v="3"/>
    <x v="3"/>
    <x v="0"/>
    <x v="2"/>
    <x v="1"/>
  </r>
  <r>
    <x v="189"/>
    <x v="49"/>
    <x v="6"/>
    <x v="3"/>
    <x v="2"/>
    <x v="5"/>
    <x v="1"/>
    <x v="6"/>
    <x v="0"/>
  </r>
  <r>
    <x v="190"/>
    <x v="70"/>
    <x v="9"/>
    <x v="2"/>
    <x v="2"/>
    <x v="2"/>
    <x v="0"/>
    <x v="9"/>
    <x v="3"/>
  </r>
  <r>
    <x v="191"/>
    <x v="29"/>
    <x v="6"/>
    <x v="3"/>
    <x v="2"/>
    <x v="8"/>
    <x v="0"/>
    <x v="6"/>
    <x v="4"/>
  </r>
  <r>
    <x v="192"/>
    <x v="54"/>
    <x v="2"/>
    <x v="4"/>
    <x v="1"/>
    <x v="10"/>
    <x v="0"/>
    <x v="2"/>
    <x v="4"/>
  </r>
  <r>
    <x v="193"/>
    <x v="26"/>
    <x v="6"/>
    <x v="0"/>
    <x v="2"/>
    <x v="6"/>
    <x v="1"/>
    <x v="6"/>
    <x v="0"/>
  </r>
  <r>
    <x v="194"/>
    <x v="72"/>
    <x v="6"/>
    <x v="3"/>
    <x v="0"/>
    <x v="0"/>
    <x v="0"/>
    <x v="6"/>
    <x v="2"/>
  </r>
  <r>
    <x v="195"/>
    <x v="2"/>
    <x v="7"/>
    <x v="4"/>
    <x v="3"/>
    <x v="2"/>
    <x v="0"/>
    <x v="7"/>
    <x v="1"/>
  </r>
  <r>
    <x v="196"/>
    <x v="17"/>
    <x v="0"/>
    <x v="3"/>
    <x v="2"/>
    <x v="12"/>
    <x v="0"/>
    <x v="0"/>
    <x v="2"/>
  </r>
  <r>
    <x v="197"/>
    <x v="1"/>
    <x v="2"/>
    <x v="1"/>
    <x v="1"/>
    <x v="1"/>
    <x v="0"/>
    <x v="2"/>
    <x v="0"/>
  </r>
  <r>
    <x v="198"/>
    <x v="30"/>
    <x v="7"/>
    <x v="3"/>
    <x v="3"/>
    <x v="1"/>
    <x v="0"/>
    <x v="7"/>
    <x v="4"/>
  </r>
  <r>
    <x v="199"/>
    <x v="84"/>
    <x v="1"/>
    <x v="3"/>
    <x v="0"/>
    <x v="5"/>
    <x v="0"/>
    <x v="1"/>
    <x v="1"/>
  </r>
  <r>
    <x v="200"/>
    <x v="85"/>
    <x v="9"/>
    <x v="1"/>
    <x v="2"/>
    <x v="10"/>
    <x v="1"/>
    <x v="9"/>
    <x v="4"/>
  </r>
  <r>
    <x v="201"/>
    <x v="79"/>
    <x v="3"/>
    <x v="1"/>
    <x v="0"/>
    <x v="11"/>
    <x v="0"/>
    <x v="3"/>
    <x v="0"/>
  </r>
  <r>
    <x v="202"/>
    <x v="40"/>
    <x v="1"/>
    <x v="1"/>
    <x v="2"/>
    <x v="10"/>
    <x v="0"/>
    <x v="1"/>
    <x v="0"/>
  </r>
  <r>
    <x v="203"/>
    <x v="5"/>
    <x v="7"/>
    <x v="0"/>
    <x v="0"/>
    <x v="5"/>
    <x v="0"/>
    <x v="7"/>
    <x v="2"/>
  </r>
  <r>
    <x v="204"/>
    <x v="64"/>
    <x v="8"/>
    <x v="2"/>
    <x v="3"/>
    <x v="2"/>
    <x v="1"/>
    <x v="8"/>
    <x v="4"/>
  </r>
  <r>
    <x v="205"/>
    <x v="58"/>
    <x v="6"/>
    <x v="4"/>
    <x v="3"/>
    <x v="8"/>
    <x v="1"/>
    <x v="6"/>
    <x v="2"/>
  </r>
  <r>
    <x v="206"/>
    <x v="86"/>
    <x v="4"/>
    <x v="0"/>
    <x v="0"/>
    <x v="1"/>
    <x v="1"/>
    <x v="4"/>
    <x v="0"/>
  </r>
  <r>
    <x v="207"/>
    <x v="63"/>
    <x v="8"/>
    <x v="3"/>
    <x v="0"/>
    <x v="3"/>
    <x v="0"/>
    <x v="8"/>
    <x v="3"/>
  </r>
  <r>
    <x v="208"/>
    <x v="6"/>
    <x v="5"/>
    <x v="3"/>
    <x v="1"/>
    <x v="6"/>
    <x v="1"/>
    <x v="5"/>
    <x v="2"/>
  </r>
  <r>
    <x v="209"/>
    <x v="87"/>
    <x v="0"/>
    <x v="2"/>
    <x v="0"/>
    <x v="14"/>
    <x v="0"/>
    <x v="0"/>
    <x v="1"/>
  </r>
  <r>
    <x v="210"/>
    <x v="37"/>
    <x v="3"/>
    <x v="2"/>
    <x v="0"/>
    <x v="14"/>
    <x v="1"/>
    <x v="3"/>
    <x v="4"/>
  </r>
  <r>
    <x v="211"/>
    <x v="36"/>
    <x v="6"/>
    <x v="2"/>
    <x v="1"/>
    <x v="14"/>
    <x v="1"/>
    <x v="6"/>
    <x v="1"/>
  </r>
  <r>
    <x v="212"/>
    <x v="5"/>
    <x v="9"/>
    <x v="2"/>
    <x v="3"/>
    <x v="5"/>
    <x v="0"/>
    <x v="9"/>
    <x v="2"/>
  </r>
  <r>
    <x v="213"/>
    <x v="66"/>
    <x v="1"/>
    <x v="3"/>
    <x v="0"/>
    <x v="0"/>
    <x v="0"/>
    <x v="1"/>
    <x v="2"/>
  </r>
  <r>
    <x v="214"/>
    <x v="54"/>
    <x v="6"/>
    <x v="2"/>
    <x v="3"/>
    <x v="10"/>
    <x v="0"/>
    <x v="6"/>
    <x v="4"/>
  </r>
  <r>
    <x v="215"/>
    <x v="88"/>
    <x v="9"/>
    <x v="0"/>
    <x v="1"/>
    <x v="9"/>
    <x v="0"/>
    <x v="9"/>
    <x v="4"/>
  </r>
  <r>
    <x v="216"/>
    <x v="42"/>
    <x v="4"/>
    <x v="4"/>
    <x v="1"/>
    <x v="11"/>
    <x v="1"/>
    <x v="4"/>
    <x v="3"/>
  </r>
  <r>
    <x v="217"/>
    <x v="49"/>
    <x v="1"/>
    <x v="1"/>
    <x v="2"/>
    <x v="5"/>
    <x v="1"/>
    <x v="1"/>
    <x v="0"/>
  </r>
  <r>
    <x v="218"/>
    <x v="28"/>
    <x v="6"/>
    <x v="4"/>
    <x v="1"/>
    <x v="4"/>
    <x v="0"/>
    <x v="6"/>
    <x v="1"/>
  </r>
  <r>
    <x v="219"/>
    <x v="32"/>
    <x v="3"/>
    <x v="2"/>
    <x v="1"/>
    <x v="9"/>
    <x v="0"/>
    <x v="3"/>
    <x v="1"/>
  </r>
  <r>
    <x v="220"/>
    <x v="83"/>
    <x v="3"/>
    <x v="0"/>
    <x v="2"/>
    <x v="8"/>
    <x v="0"/>
    <x v="3"/>
    <x v="0"/>
  </r>
  <r>
    <x v="221"/>
    <x v="6"/>
    <x v="7"/>
    <x v="3"/>
    <x v="2"/>
    <x v="6"/>
    <x v="1"/>
    <x v="7"/>
    <x v="2"/>
  </r>
  <r>
    <x v="222"/>
    <x v="15"/>
    <x v="4"/>
    <x v="3"/>
    <x v="2"/>
    <x v="5"/>
    <x v="0"/>
    <x v="4"/>
    <x v="4"/>
  </r>
  <r>
    <x v="223"/>
    <x v="27"/>
    <x v="8"/>
    <x v="3"/>
    <x v="1"/>
    <x v="4"/>
    <x v="0"/>
    <x v="8"/>
    <x v="0"/>
  </r>
  <r>
    <x v="224"/>
    <x v="46"/>
    <x v="5"/>
    <x v="2"/>
    <x v="1"/>
    <x v="6"/>
    <x v="1"/>
    <x v="5"/>
    <x v="2"/>
  </r>
  <r>
    <x v="225"/>
    <x v="42"/>
    <x v="2"/>
    <x v="4"/>
    <x v="3"/>
    <x v="11"/>
    <x v="1"/>
    <x v="2"/>
    <x v="3"/>
  </r>
  <r>
    <x v="226"/>
    <x v="89"/>
    <x v="5"/>
    <x v="4"/>
    <x v="3"/>
    <x v="7"/>
    <x v="1"/>
    <x v="5"/>
    <x v="2"/>
  </r>
  <r>
    <x v="227"/>
    <x v="26"/>
    <x v="3"/>
    <x v="4"/>
    <x v="2"/>
    <x v="6"/>
    <x v="1"/>
    <x v="3"/>
    <x v="0"/>
  </r>
  <r>
    <x v="228"/>
    <x v="58"/>
    <x v="1"/>
    <x v="4"/>
    <x v="0"/>
    <x v="8"/>
    <x v="1"/>
    <x v="1"/>
    <x v="2"/>
  </r>
  <r>
    <x v="229"/>
    <x v="9"/>
    <x v="8"/>
    <x v="2"/>
    <x v="2"/>
    <x v="7"/>
    <x v="0"/>
    <x v="8"/>
    <x v="3"/>
  </r>
  <r>
    <x v="230"/>
    <x v="47"/>
    <x v="8"/>
    <x v="1"/>
    <x v="2"/>
    <x v="8"/>
    <x v="0"/>
    <x v="8"/>
    <x v="2"/>
  </r>
  <r>
    <x v="231"/>
    <x v="83"/>
    <x v="1"/>
    <x v="0"/>
    <x v="2"/>
    <x v="8"/>
    <x v="0"/>
    <x v="1"/>
    <x v="0"/>
  </r>
  <r>
    <x v="232"/>
    <x v="56"/>
    <x v="2"/>
    <x v="0"/>
    <x v="0"/>
    <x v="4"/>
    <x v="0"/>
    <x v="2"/>
    <x v="4"/>
  </r>
  <r>
    <x v="233"/>
    <x v="68"/>
    <x v="8"/>
    <x v="3"/>
    <x v="1"/>
    <x v="5"/>
    <x v="0"/>
    <x v="8"/>
    <x v="1"/>
  </r>
  <r>
    <x v="234"/>
    <x v="44"/>
    <x v="1"/>
    <x v="1"/>
    <x v="1"/>
    <x v="12"/>
    <x v="1"/>
    <x v="1"/>
    <x v="1"/>
  </r>
  <r>
    <x v="235"/>
    <x v="49"/>
    <x v="6"/>
    <x v="2"/>
    <x v="1"/>
    <x v="5"/>
    <x v="1"/>
    <x v="6"/>
    <x v="0"/>
  </r>
  <r>
    <x v="236"/>
    <x v="90"/>
    <x v="3"/>
    <x v="4"/>
    <x v="3"/>
    <x v="10"/>
    <x v="1"/>
    <x v="3"/>
    <x v="3"/>
  </r>
  <r>
    <x v="237"/>
    <x v="0"/>
    <x v="1"/>
    <x v="1"/>
    <x v="3"/>
    <x v="0"/>
    <x v="0"/>
    <x v="1"/>
    <x v="0"/>
  </r>
  <r>
    <x v="238"/>
    <x v="0"/>
    <x v="4"/>
    <x v="3"/>
    <x v="3"/>
    <x v="0"/>
    <x v="0"/>
    <x v="4"/>
    <x v="0"/>
  </r>
  <r>
    <x v="239"/>
    <x v="8"/>
    <x v="2"/>
    <x v="0"/>
    <x v="1"/>
    <x v="2"/>
    <x v="0"/>
    <x v="2"/>
    <x v="1"/>
  </r>
  <r>
    <x v="240"/>
    <x v="62"/>
    <x v="3"/>
    <x v="2"/>
    <x v="0"/>
    <x v="7"/>
    <x v="0"/>
    <x v="3"/>
    <x v="2"/>
  </r>
  <r>
    <x v="241"/>
    <x v="53"/>
    <x v="8"/>
    <x v="2"/>
    <x v="1"/>
    <x v="7"/>
    <x v="0"/>
    <x v="8"/>
    <x v="3"/>
  </r>
  <r>
    <x v="242"/>
    <x v="3"/>
    <x v="3"/>
    <x v="0"/>
    <x v="1"/>
    <x v="3"/>
    <x v="1"/>
    <x v="3"/>
    <x v="2"/>
  </r>
  <r>
    <x v="243"/>
    <x v="38"/>
    <x v="2"/>
    <x v="4"/>
    <x v="0"/>
    <x v="5"/>
    <x v="1"/>
    <x v="2"/>
    <x v="0"/>
  </r>
  <r>
    <x v="244"/>
    <x v="69"/>
    <x v="3"/>
    <x v="4"/>
    <x v="1"/>
    <x v="14"/>
    <x v="1"/>
    <x v="3"/>
    <x v="0"/>
  </r>
  <r>
    <x v="245"/>
    <x v="91"/>
    <x v="2"/>
    <x v="3"/>
    <x v="0"/>
    <x v="1"/>
    <x v="0"/>
    <x v="2"/>
    <x v="1"/>
  </r>
  <r>
    <x v="246"/>
    <x v="71"/>
    <x v="2"/>
    <x v="0"/>
    <x v="3"/>
    <x v="4"/>
    <x v="1"/>
    <x v="2"/>
    <x v="2"/>
  </r>
  <r>
    <x v="247"/>
    <x v="39"/>
    <x v="9"/>
    <x v="2"/>
    <x v="2"/>
    <x v="9"/>
    <x v="0"/>
    <x v="9"/>
    <x v="3"/>
  </r>
  <r>
    <x v="248"/>
    <x v="37"/>
    <x v="9"/>
    <x v="3"/>
    <x v="1"/>
    <x v="14"/>
    <x v="1"/>
    <x v="9"/>
    <x v="4"/>
  </r>
  <r>
    <x v="249"/>
    <x v="49"/>
    <x v="3"/>
    <x v="2"/>
    <x v="2"/>
    <x v="5"/>
    <x v="1"/>
    <x v="3"/>
    <x v="0"/>
  </r>
  <r>
    <x v="250"/>
    <x v="40"/>
    <x v="8"/>
    <x v="0"/>
    <x v="0"/>
    <x v="10"/>
    <x v="0"/>
    <x v="8"/>
    <x v="0"/>
  </r>
  <r>
    <x v="251"/>
    <x v="79"/>
    <x v="2"/>
    <x v="0"/>
    <x v="1"/>
    <x v="11"/>
    <x v="0"/>
    <x v="2"/>
    <x v="0"/>
  </r>
  <r>
    <x v="252"/>
    <x v="61"/>
    <x v="9"/>
    <x v="2"/>
    <x v="1"/>
    <x v="0"/>
    <x v="0"/>
    <x v="9"/>
    <x v="1"/>
  </r>
  <r>
    <x v="253"/>
    <x v="76"/>
    <x v="1"/>
    <x v="0"/>
    <x v="2"/>
    <x v="9"/>
    <x v="1"/>
    <x v="1"/>
    <x v="3"/>
  </r>
  <r>
    <x v="254"/>
    <x v="53"/>
    <x v="4"/>
    <x v="1"/>
    <x v="2"/>
    <x v="7"/>
    <x v="0"/>
    <x v="4"/>
    <x v="3"/>
  </r>
  <r>
    <x v="255"/>
    <x v="40"/>
    <x v="2"/>
    <x v="2"/>
    <x v="1"/>
    <x v="10"/>
    <x v="0"/>
    <x v="2"/>
    <x v="0"/>
  </r>
  <r>
    <x v="256"/>
    <x v="3"/>
    <x v="4"/>
    <x v="3"/>
    <x v="3"/>
    <x v="3"/>
    <x v="1"/>
    <x v="4"/>
    <x v="2"/>
  </r>
  <r>
    <x v="257"/>
    <x v="76"/>
    <x v="5"/>
    <x v="1"/>
    <x v="3"/>
    <x v="9"/>
    <x v="1"/>
    <x v="5"/>
    <x v="3"/>
  </r>
  <r>
    <x v="258"/>
    <x v="11"/>
    <x v="0"/>
    <x v="1"/>
    <x v="1"/>
    <x v="2"/>
    <x v="0"/>
    <x v="0"/>
    <x v="2"/>
  </r>
  <r>
    <x v="259"/>
    <x v="39"/>
    <x v="0"/>
    <x v="0"/>
    <x v="0"/>
    <x v="9"/>
    <x v="0"/>
    <x v="0"/>
    <x v="3"/>
  </r>
  <r>
    <x v="260"/>
    <x v="33"/>
    <x v="9"/>
    <x v="0"/>
    <x v="3"/>
    <x v="3"/>
    <x v="0"/>
    <x v="9"/>
    <x v="1"/>
  </r>
  <r>
    <x v="261"/>
    <x v="46"/>
    <x v="1"/>
    <x v="3"/>
    <x v="2"/>
    <x v="6"/>
    <x v="1"/>
    <x v="1"/>
    <x v="2"/>
  </r>
  <r>
    <x v="262"/>
    <x v="49"/>
    <x v="4"/>
    <x v="2"/>
    <x v="0"/>
    <x v="5"/>
    <x v="1"/>
    <x v="4"/>
    <x v="0"/>
  </r>
  <r>
    <x v="263"/>
    <x v="89"/>
    <x v="3"/>
    <x v="2"/>
    <x v="3"/>
    <x v="7"/>
    <x v="1"/>
    <x v="3"/>
    <x v="2"/>
  </r>
  <r>
    <x v="264"/>
    <x v="70"/>
    <x v="4"/>
    <x v="3"/>
    <x v="2"/>
    <x v="2"/>
    <x v="0"/>
    <x v="4"/>
    <x v="3"/>
  </r>
  <r>
    <x v="265"/>
    <x v="88"/>
    <x v="8"/>
    <x v="3"/>
    <x v="3"/>
    <x v="9"/>
    <x v="0"/>
    <x v="8"/>
    <x v="4"/>
  </r>
  <r>
    <x v="266"/>
    <x v="62"/>
    <x v="4"/>
    <x v="4"/>
    <x v="2"/>
    <x v="7"/>
    <x v="0"/>
    <x v="4"/>
    <x v="2"/>
  </r>
  <r>
    <x v="267"/>
    <x v="59"/>
    <x v="4"/>
    <x v="0"/>
    <x v="1"/>
    <x v="6"/>
    <x v="1"/>
    <x v="4"/>
    <x v="2"/>
  </r>
  <r>
    <x v="268"/>
    <x v="15"/>
    <x v="7"/>
    <x v="0"/>
    <x v="0"/>
    <x v="5"/>
    <x v="0"/>
    <x v="7"/>
    <x v="4"/>
  </r>
  <r>
    <x v="269"/>
    <x v="13"/>
    <x v="8"/>
    <x v="0"/>
    <x v="1"/>
    <x v="10"/>
    <x v="1"/>
    <x v="8"/>
    <x v="3"/>
  </r>
  <r>
    <x v="270"/>
    <x v="9"/>
    <x v="1"/>
    <x v="2"/>
    <x v="2"/>
    <x v="7"/>
    <x v="0"/>
    <x v="1"/>
    <x v="3"/>
  </r>
  <r>
    <x v="271"/>
    <x v="90"/>
    <x v="4"/>
    <x v="4"/>
    <x v="1"/>
    <x v="10"/>
    <x v="1"/>
    <x v="4"/>
    <x v="3"/>
  </r>
  <r>
    <x v="272"/>
    <x v="43"/>
    <x v="2"/>
    <x v="0"/>
    <x v="0"/>
    <x v="7"/>
    <x v="0"/>
    <x v="2"/>
    <x v="4"/>
  </r>
  <r>
    <x v="273"/>
    <x v="87"/>
    <x v="9"/>
    <x v="3"/>
    <x v="1"/>
    <x v="14"/>
    <x v="0"/>
    <x v="9"/>
    <x v="1"/>
  </r>
  <r>
    <x v="274"/>
    <x v="80"/>
    <x v="3"/>
    <x v="2"/>
    <x v="3"/>
    <x v="0"/>
    <x v="1"/>
    <x v="3"/>
    <x v="0"/>
  </r>
  <r>
    <x v="275"/>
    <x v="3"/>
    <x v="9"/>
    <x v="2"/>
    <x v="1"/>
    <x v="3"/>
    <x v="1"/>
    <x v="9"/>
    <x v="2"/>
  </r>
  <r>
    <x v="276"/>
    <x v="92"/>
    <x v="2"/>
    <x v="2"/>
    <x v="0"/>
    <x v="12"/>
    <x v="0"/>
    <x v="2"/>
    <x v="0"/>
  </r>
  <r>
    <x v="277"/>
    <x v="91"/>
    <x v="9"/>
    <x v="3"/>
    <x v="0"/>
    <x v="1"/>
    <x v="0"/>
    <x v="9"/>
    <x v="1"/>
  </r>
  <r>
    <x v="278"/>
    <x v="33"/>
    <x v="8"/>
    <x v="1"/>
    <x v="2"/>
    <x v="3"/>
    <x v="0"/>
    <x v="8"/>
    <x v="1"/>
  </r>
  <r>
    <x v="279"/>
    <x v="68"/>
    <x v="5"/>
    <x v="4"/>
    <x v="3"/>
    <x v="5"/>
    <x v="0"/>
    <x v="5"/>
    <x v="1"/>
  </r>
  <r>
    <x v="280"/>
    <x v="77"/>
    <x v="6"/>
    <x v="2"/>
    <x v="2"/>
    <x v="5"/>
    <x v="0"/>
    <x v="6"/>
    <x v="3"/>
  </r>
  <r>
    <x v="281"/>
    <x v="37"/>
    <x v="8"/>
    <x v="1"/>
    <x v="3"/>
    <x v="14"/>
    <x v="1"/>
    <x v="8"/>
    <x v="4"/>
  </r>
  <r>
    <x v="282"/>
    <x v="5"/>
    <x v="5"/>
    <x v="3"/>
    <x v="3"/>
    <x v="5"/>
    <x v="0"/>
    <x v="5"/>
    <x v="2"/>
  </r>
  <r>
    <x v="283"/>
    <x v="14"/>
    <x v="1"/>
    <x v="0"/>
    <x v="2"/>
    <x v="11"/>
    <x v="1"/>
    <x v="1"/>
    <x v="1"/>
  </r>
  <r>
    <x v="284"/>
    <x v="32"/>
    <x v="7"/>
    <x v="3"/>
    <x v="3"/>
    <x v="9"/>
    <x v="0"/>
    <x v="7"/>
    <x v="1"/>
  </r>
  <r>
    <x v="285"/>
    <x v="22"/>
    <x v="1"/>
    <x v="3"/>
    <x v="2"/>
    <x v="12"/>
    <x v="0"/>
    <x v="1"/>
    <x v="3"/>
  </r>
  <r>
    <x v="286"/>
    <x v="20"/>
    <x v="5"/>
    <x v="4"/>
    <x v="1"/>
    <x v="10"/>
    <x v="0"/>
    <x v="5"/>
    <x v="0"/>
  </r>
  <r>
    <x v="287"/>
    <x v="32"/>
    <x v="5"/>
    <x v="2"/>
    <x v="3"/>
    <x v="9"/>
    <x v="0"/>
    <x v="5"/>
    <x v="1"/>
  </r>
  <r>
    <x v="288"/>
    <x v="91"/>
    <x v="8"/>
    <x v="4"/>
    <x v="0"/>
    <x v="1"/>
    <x v="0"/>
    <x v="8"/>
    <x v="1"/>
  </r>
  <r>
    <x v="289"/>
    <x v="86"/>
    <x v="8"/>
    <x v="3"/>
    <x v="3"/>
    <x v="1"/>
    <x v="1"/>
    <x v="8"/>
    <x v="0"/>
  </r>
  <r>
    <x v="290"/>
    <x v="27"/>
    <x v="1"/>
    <x v="4"/>
    <x v="0"/>
    <x v="4"/>
    <x v="0"/>
    <x v="1"/>
    <x v="0"/>
  </r>
  <r>
    <x v="291"/>
    <x v="11"/>
    <x v="0"/>
    <x v="1"/>
    <x v="2"/>
    <x v="2"/>
    <x v="0"/>
    <x v="0"/>
    <x v="2"/>
  </r>
  <r>
    <x v="292"/>
    <x v="80"/>
    <x v="3"/>
    <x v="4"/>
    <x v="0"/>
    <x v="0"/>
    <x v="1"/>
    <x v="3"/>
    <x v="0"/>
  </r>
  <r>
    <x v="293"/>
    <x v="12"/>
    <x v="6"/>
    <x v="0"/>
    <x v="2"/>
    <x v="9"/>
    <x v="1"/>
    <x v="6"/>
    <x v="2"/>
  </r>
  <r>
    <x v="294"/>
    <x v="73"/>
    <x v="6"/>
    <x v="4"/>
    <x v="1"/>
    <x v="8"/>
    <x v="0"/>
    <x v="6"/>
    <x v="1"/>
  </r>
  <r>
    <x v="295"/>
    <x v="77"/>
    <x v="6"/>
    <x v="3"/>
    <x v="3"/>
    <x v="5"/>
    <x v="0"/>
    <x v="6"/>
    <x v="3"/>
  </r>
  <r>
    <x v="296"/>
    <x v="58"/>
    <x v="3"/>
    <x v="1"/>
    <x v="3"/>
    <x v="8"/>
    <x v="1"/>
    <x v="3"/>
    <x v="2"/>
  </r>
  <r>
    <x v="297"/>
    <x v="48"/>
    <x v="5"/>
    <x v="2"/>
    <x v="3"/>
    <x v="14"/>
    <x v="1"/>
    <x v="5"/>
    <x v="4"/>
  </r>
  <r>
    <x v="298"/>
    <x v="44"/>
    <x v="5"/>
    <x v="2"/>
    <x v="3"/>
    <x v="12"/>
    <x v="1"/>
    <x v="5"/>
    <x v="1"/>
  </r>
  <r>
    <x v="299"/>
    <x v="65"/>
    <x v="4"/>
    <x v="2"/>
    <x v="1"/>
    <x v="5"/>
    <x v="1"/>
    <x v="4"/>
    <x v="0"/>
  </r>
  <r>
    <x v="300"/>
    <x v="65"/>
    <x v="3"/>
    <x v="1"/>
    <x v="3"/>
    <x v="5"/>
    <x v="1"/>
    <x v="3"/>
    <x v="0"/>
  </r>
  <r>
    <x v="301"/>
    <x v="42"/>
    <x v="3"/>
    <x v="3"/>
    <x v="2"/>
    <x v="11"/>
    <x v="1"/>
    <x v="3"/>
    <x v="3"/>
  </r>
  <r>
    <x v="302"/>
    <x v="21"/>
    <x v="6"/>
    <x v="3"/>
    <x v="3"/>
    <x v="5"/>
    <x v="0"/>
    <x v="6"/>
    <x v="1"/>
  </r>
  <r>
    <x v="303"/>
    <x v="65"/>
    <x v="9"/>
    <x v="2"/>
    <x v="3"/>
    <x v="5"/>
    <x v="1"/>
    <x v="9"/>
    <x v="0"/>
  </r>
  <r>
    <x v="304"/>
    <x v="33"/>
    <x v="8"/>
    <x v="2"/>
    <x v="0"/>
    <x v="3"/>
    <x v="0"/>
    <x v="8"/>
    <x v="1"/>
  </r>
  <r>
    <x v="305"/>
    <x v="30"/>
    <x v="9"/>
    <x v="3"/>
    <x v="3"/>
    <x v="1"/>
    <x v="0"/>
    <x v="9"/>
    <x v="4"/>
  </r>
  <r>
    <x v="306"/>
    <x v="58"/>
    <x v="3"/>
    <x v="4"/>
    <x v="1"/>
    <x v="8"/>
    <x v="1"/>
    <x v="3"/>
    <x v="2"/>
  </r>
  <r>
    <x v="307"/>
    <x v="53"/>
    <x v="6"/>
    <x v="4"/>
    <x v="0"/>
    <x v="7"/>
    <x v="0"/>
    <x v="6"/>
    <x v="3"/>
  </r>
  <r>
    <x v="308"/>
    <x v="8"/>
    <x v="4"/>
    <x v="2"/>
    <x v="0"/>
    <x v="2"/>
    <x v="0"/>
    <x v="4"/>
    <x v="1"/>
  </r>
  <r>
    <x v="309"/>
    <x v="45"/>
    <x v="5"/>
    <x v="2"/>
    <x v="2"/>
    <x v="5"/>
    <x v="1"/>
    <x v="5"/>
    <x v="1"/>
  </r>
  <r>
    <x v="310"/>
    <x v="11"/>
    <x v="4"/>
    <x v="0"/>
    <x v="0"/>
    <x v="2"/>
    <x v="0"/>
    <x v="4"/>
    <x v="2"/>
  </r>
  <r>
    <x v="311"/>
    <x v="64"/>
    <x v="5"/>
    <x v="0"/>
    <x v="2"/>
    <x v="2"/>
    <x v="1"/>
    <x v="5"/>
    <x v="4"/>
  </r>
  <r>
    <x v="312"/>
    <x v="36"/>
    <x v="3"/>
    <x v="2"/>
    <x v="3"/>
    <x v="14"/>
    <x v="1"/>
    <x v="3"/>
    <x v="1"/>
  </r>
  <r>
    <x v="313"/>
    <x v="2"/>
    <x v="0"/>
    <x v="0"/>
    <x v="2"/>
    <x v="2"/>
    <x v="0"/>
    <x v="0"/>
    <x v="1"/>
  </r>
  <r>
    <x v="314"/>
    <x v="20"/>
    <x v="2"/>
    <x v="1"/>
    <x v="2"/>
    <x v="10"/>
    <x v="0"/>
    <x v="2"/>
    <x v="0"/>
  </r>
  <r>
    <x v="315"/>
    <x v="93"/>
    <x v="0"/>
    <x v="4"/>
    <x v="0"/>
    <x v="10"/>
    <x v="1"/>
    <x v="0"/>
    <x v="0"/>
  </r>
  <r>
    <x v="316"/>
    <x v="48"/>
    <x v="7"/>
    <x v="1"/>
    <x v="3"/>
    <x v="14"/>
    <x v="1"/>
    <x v="7"/>
    <x v="4"/>
  </r>
  <r>
    <x v="317"/>
    <x v="18"/>
    <x v="1"/>
    <x v="4"/>
    <x v="1"/>
    <x v="4"/>
    <x v="1"/>
    <x v="1"/>
    <x v="4"/>
  </r>
  <r>
    <x v="318"/>
    <x v="22"/>
    <x v="1"/>
    <x v="2"/>
    <x v="3"/>
    <x v="12"/>
    <x v="0"/>
    <x v="1"/>
    <x v="3"/>
  </r>
  <r>
    <x v="319"/>
    <x v="32"/>
    <x v="3"/>
    <x v="2"/>
    <x v="2"/>
    <x v="9"/>
    <x v="0"/>
    <x v="3"/>
    <x v="1"/>
  </r>
  <r>
    <x v="320"/>
    <x v="23"/>
    <x v="0"/>
    <x v="1"/>
    <x v="3"/>
    <x v="8"/>
    <x v="0"/>
    <x v="0"/>
    <x v="4"/>
  </r>
  <r>
    <x v="321"/>
    <x v="4"/>
    <x v="4"/>
    <x v="3"/>
    <x v="2"/>
    <x v="4"/>
    <x v="0"/>
    <x v="4"/>
    <x v="0"/>
  </r>
  <r>
    <x v="322"/>
    <x v="14"/>
    <x v="6"/>
    <x v="2"/>
    <x v="2"/>
    <x v="11"/>
    <x v="1"/>
    <x v="6"/>
    <x v="1"/>
  </r>
  <r>
    <x v="323"/>
    <x v="44"/>
    <x v="6"/>
    <x v="2"/>
    <x v="1"/>
    <x v="12"/>
    <x v="1"/>
    <x v="6"/>
    <x v="1"/>
  </r>
  <r>
    <x v="324"/>
    <x v="56"/>
    <x v="1"/>
    <x v="0"/>
    <x v="0"/>
    <x v="4"/>
    <x v="0"/>
    <x v="1"/>
    <x v="4"/>
  </r>
  <r>
    <x v="325"/>
    <x v="30"/>
    <x v="7"/>
    <x v="0"/>
    <x v="2"/>
    <x v="1"/>
    <x v="0"/>
    <x v="7"/>
    <x v="4"/>
  </r>
  <r>
    <x v="326"/>
    <x v="1"/>
    <x v="9"/>
    <x v="1"/>
    <x v="2"/>
    <x v="1"/>
    <x v="0"/>
    <x v="9"/>
    <x v="0"/>
  </r>
  <r>
    <x v="327"/>
    <x v="17"/>
    <x v="7"/>
    <x v="3"/>
    <x v="1"/>
    <x v="12"/>
    <x v="0"/>
    <x v="7"/>
    <x v="2"/>
  </r>
  <r>
    <x v="328"/>
    <x v="48"/>
    <x v="0"/>
    <x v="2"/>
    <x v="2"/>
    <x v="14"/>
    <x v="1"/>
    <x v="0"/>
    <x v="4"/>
  </r>
  <r>
    <x v="329"/>
    <x v="74"/>
    <x v="2"/>
    <x v="2"/>
    <x v="3"/>
    <x v="14"/>
    <x v="1"/>
    <x v="2"/>
    <x v="0"/>
  </r>
  <r>
    <x v="330"/>
    <x v="63"/>
    <x v="7"/>
    <x v="2"/>
    <x v="2"/>
    <x v="3"/>
    <x v="0"/>
    <x v="7"/>
    <x v="3"/>
  </r>
  <r>
    <x v="331"/>
    <x v="72"/>
    <x v="5"/>
    <x v="1"/>
    <x v="1"/>
    <x v="0"/>
    <x v="0"/>
    <x v="5"/>
    <x v="2"/>
  </r>
  <r>
    <x v="332"/>
    <x v="74"/>
    <x v="8"/>
    <x v="4"/>
    <x v="1"/>
    <x v="14"/>
    <x v="1"/>
    <x v="8"/>
    <x v="0"/>
  </r>
  <r>
    <x v="333"/>
    <x v="77"/>
    <x v="3"/>
    <x v="4"/>
    <x v="0"/>
    <x v="5"/>
    <x v="0"/>
    <x v="3"/>
    <x v="3"/>
  </r>
  <r>
    <x v="334"/>
    <x v="27"/>
    <x v="9"/>
    <x v="0"/>
    <x v="2"/>
    <x v="4"/>
    <x v="0"/>
    <x v="9"/>
    <x v="0"/>
  </r>
  <r>
    <x v="335"/>
    <x v="39"/>
    <x v="5"/>
    <x v="0"/>
    <x v="0"/>
    <x v="9"/>
    <x v="0"/>
    <x v="5"/>
    <x v="3"/>
  </r>
  <r>
    <x v="336"/>
    <x v="62"/>
    <x v="4"/>
    <x v="2"/>
    <x v="1"/>
    <x v="7"/>
    <x v="0"/>
    <x v="4"/>
    <x v="2"/>
  </r>
  <r>
    <x v="337"/>
    <x v="80"/>
    <x v="6"/>
    <x v="3"/>
    <x v="1"/>
    <x v="0"/>
    <x v="1"/>
    <x v="6"/>
    <x v="0"/>
  </r>
  <r>
    <x v="338"/>
    <x v="10"/>
    <x v="8"/>
    <x v="3"/>
    <x v="2"/>
    <x v="8"/>
    <x v="0"/>
    <x v="8"/>
    <x v="4"/>
  </r>
  <r>
    <x v="339"/>
    <x v="79"/>
    <x v="2"/>
    <x v="3"/>
    <x v="3"/>
    <x v="11"/>
    <x v="0"/>
    <x v="2"/>
    <x v="0"/>
  </r>
  <r>
    <x v="340"/>
    <x v="37"/>
    <x v="6"/>
    <x v="2"/>
    <x v="1"/>
    <x v="14"/>
    <x v="1"/>
    <x v="6"/>
    <x v="4"/>
  </r>
  <r>
    <x v="341"/>
    <x v="33"/>
    <x v="5"/>
    <x v="0"/>
    <x v="0"/>
    <x v="3"/>
    <x v="0"/>
    <x v="5"/>
    <x v="1"/>
  </r>
  <r>
    <x v="342"/>
    <x v="11"/>
    <x v="6"/>
    <x v="4"/>
    <x v="3"/>
    <x v="2"/>
    <x v="0"/>
    <x v="6"/>
    <x v="2"/>
  </r>
  <r>
    <x v="343"/>
    <x v="6"/>
    <x v="9"/>
    <x v="1"/>
    <x v="2"/>
    <x v="6"/>
    <x v="1"/>
    <x v="9"/>
    <x v="2"/>
  </r>
  <r>
    <x v="344"/>
    <x v="77"/>
    <x v="9"/>
    <x v="2"/>
    <x v="1"/>
    <x v="5"/>
    <x v="0"/>
    <x v="9"/>
    <x v="3"/>
  </r>
  <r>
    <x v="345"/>
    <x v="27"/>
    <x v="8"/>
    <x v="3"/>
    <x v="3"/>
    <x v="4"/>
    <x v="0"/>
    <x v="8"/>
    <x v="0"/>
  </r>
  <r>
    <x v="346"/>
    <x v="24"/>
    <x v="7"/>
    <x v="2"/>
    <x v="1"/>
    <x v="13"/>
    <x v="0"/>
    <x v="7"/>
    <x v="2"/>
  </r>
  <r>
    <x v="347"/>
    <x v="56"/>
    <x v="2"/>
    <x v="4"/>
    <x v="2"/>
    <x v="4"/>
    <x v="0"/>
    <x v="2"/>
    <x v="4"/>
  </r>
  <r>
    <x v="348"/>
    <x v="35"/>
    <x v="8"/>
    <x v="0"/>
    <x v="1"/>
    <x v="12"/>
    <x v="0"/>
    <x v="8"/>
    <x v="4"/>
  </r>
  <r>
    <x v="349"/>
    <x v="31"/>
    <x v="0"/>
    <x v="0"/>
    <x v="3"/>
    <x v="9"/>
    <x v="0"/>
    <x v="0"/>
    <x v="2"/>
  </r>
  <r>
    <x v="350"/>
    <x v="28"/>
    <x v="7"/>
    <x v="0"/>
    <x v="3"/>
    <x v="4"/>
    <x v="0"/>
    <x v="7"/>
    <x v="1"/>
  </r>
  <r>
    <x v="351"/>
    <x v="63"/>
    <x v="6"/>
    <x v="1"/>
    <x v="2"/>
    <x v="3"/>
    <x v="0"/>
    <x v="6"/>
    <x v="3"/>
  </r>
  <r>
    <x v="352"/>
    <x v="49"/>
    <x v="8"/>
    <x v="1"/>
    <x v="3"/>
    <x v="5"/>
    <x v="1"/>
    <x v="8"/>
    <x v="0"/>
  </r>
  <r>
    <x v="353"/>
    <x v="45"/>
    <x v="8"/>
    <x v="1"/>
    <x v="3"/>
    <x v="5"/>
    <x v="1"/>
    <x v="8"/>
    <x v="1"/>
  </r>
  <r>
    <x v="354"/>
    <x v="94"/>
    <x v="2"/>
    <x v="3"/>
    <x v="2"/>
    <x v="4"/>
    <x v="1"/>
    <x v="2"/>
    <x v="1"/>
  </r>
  <r>
    <x v="355"/>
    <x v="44"/>
    <x v="4"/>
    <x v="4"/>
    <x v="0"/>
    <x v="12"/>
    <x v="1"/>
    <x v="4"/>
    <x v="1"/>
  </r>
  <r>
    <x v="356"/>
    <x v="35"/>
    <x v="2"/>
    <x v="0"/>
    <x v="1"/>
    <x v="12"/>
    <x v="0"/>
    <x v="2"/>
    <x v="4"/>
  </r>
  <r>
    <x v="357"/>
    <x v="44"/>
    <x v="6"/>
    <x v="0"/>
    <x v="3"/>
    <x v="12"/>
    <x v="1"/>
    <x v="6"/>
    <x v="1"/>
  </r>
  <r>
    <x v="358"/>
    <x v="32"/>
    <x v="5"/>
    <x v="1"/>
    <x v="0"/>
    <x v="9"/>
    <x v="0"/>
    <x v="5"/>
    <x v="1"/>
  </r>
  <r>
    <x v="359"/>
    <x v="78"/>
    <x v="8"/>
    <x v="0"/>
    <x v="2"/>
    <x v="3"/>
    <x v="1"/>
    <x v="8"/>
    <x v="4"/>
  </r>
  <r>
    <x v="360"/>
    <x v="11"/>
    <x v="6"/>
    <x v="4"/>
    <x v="2"/>
    <x v="2"/>
    <x v="0"/>
    <x v="6"/>
    <x v="2"/>
  </r>
  <r>
    <x v="361"/>
    <x v="5"/>
    <x v="7"/>
    <x v="3"/>
    <x v="2"/>
    <x v="5"/>
    <x v="0"/>
    <x v="7"/>
    <x v="2"/>
  </r>
  <r>
    <x v="362"/>
    <x v="12"/>
    <x v="3"/>
    <x v="2"/>
    <x v="1"/>
    <x v="9"/>
    <x v="1"/>
    <x v="3"/>
    <x v="2"/>
  </r>
  <r>
    <x v="363"/>
    <x v="92"/>
    <x v="5"/>
    <x v="1"/>
    <x v="1"/>
    <x v="12"/>
    <x v="0"/>
    <x v="5"/>
    <x v="0"/>
  </r>
  <r>
    <x v="364"/>
    <x v="42"/>
    <x v="1"/>
    <x v="2"/>
    <x v="3"/>
    <x v="11"/>
    <x v="1"/>
    <x v="1"/>
    <x v="3"/>
  </r>
  <r>
    <x v="365"/>
    <x v="12"/>
    <x v="4"/>
    <x v="4"/>
    <x v="1"/>
    <x v="9"/>
    <x v="1"/>
    <x v="4"/>
    <x v="2"/>
  </r>
  <r>
    <x v="366"/>
    <x v="91"/>
    <x v="9"/>
    <x v="1"/>
    <x v="3"/>
    <x v="1"/>
    <x v="0"/>
    <x v="9"/>
    <x v="1"/>
  </r>
  <r>
    <x v="367"/>
    <x v="79"/>
    <x v="8"/>
    <x v="3"/>
    <x v="0"/>
    <x v="11"/>
    <x v="0"/>
    <x v="8"/>
    <x v="0"/>
  </r>
  <r>
    <x v="368"/>
    <x v="80"/>
    <x v="6"/>
    <x v="1"/>
    <x v="3"/>
    <x v="0"/>
    <x v="1"/>
    <x v="6"/>
    <x v="0"/>
  </r>
  <r>
    <x v="369"/>
    <x v="95"/>
    <x v="2"/>
    <x v="2"/>
    <x v="1"/>
    <x v="0"/>
    <x v="0"/>
    <x v="2"/>
    <x v="3"/>
  </r>
  <r>
    <x v="370"/>
    <x v="4"/>
    <x v="9"/>
    <x v="1"/>
    <x v="2"/>
    <x v="4"/>
    <x v="0"/>
    <x v="9"/>
    <x v="0"/>
  </r>
  <r>
    <x v="371"/>
    <x v="29"/>
    <x v="1"/>
    <x v="0"/>
    <x v="3"/>
    <x v="8"/>
    <x v="0"/>
    <x v="1"/>
    <x v="4"/>
  </r>
  <r>
    <x v="372"/>
    <x v="59"/>
    <x v="8"/>
    <x v="2"/>
    <x v="3"/>
    <x v="6"/>
    <x v="1"/>
    <x v="8"/>
    <x v="2"/>
  </r>
  <r>
    <x v="373"/>
    <x v="78"/>
    <x v="8"/>
    <x v="2"/>
    <x v="1"/>
    <x v="3"/>
    <x v="1"/>
    <x v="8"/>
    <x v="4"/>
  </r>
  <r>
    <x v="374"/>
    <x v="30"/>
    <x v="1"/>
    <x v="1"/>
    <x v="0"/>
    <x v="1"/>
    <x v="0"/>
    <x v="1"/>
    <x v="4"/>
  </r>
  <r>
    <x v="375"/>
    <x v="27"/>
    <x v="8"/>
    <x v="3"/>
    <x v="3"/>
    <x v="4"/>
    <x v="0"/>
    <x v="8"/>
    <x v="0"/>
  </r>
  <r>
    <x v="376"/>
    <x v="0"/>
    <x v="6"/>
    <x v="3"/>
    <x v="3"/>
    <x v="0"/>
    <x v="0"/>
    <x v="6"/>
    <x v="0"/>
  </r>
  <r>
    <x v="377"/>
    <x v="82"/>
    <x v="9"/>
    <x v="2"/>
    <x v="3"/>
    <x v="1"/>
    <x v="1"/>
    <x v="9"/>
    <x v="4"/>
  </r>
  <r>
    <x v="378"/>
    <x v="21"/>
    <x v="0"/>
    <x v="3"/>
    <x v="0"/>
    <x v="5"/>
    <x v="0"/>
    <x v="0"/>
    <x v="1"/>
  </r>
  <r>
    <x v="379"/>
    <x v="30"/>
    <x v="0"/>
    <x v="1"/>
    <x v="1"/>
    <x v="1"/>
    <x v="0"/>
    <x v="0"/>
    <x v="4"/>
  </r>
  <r>
    <x v="380"/>
    <x v="12"/>
    <x v="3"/>
    <x v="4"/>
    <x v="3"/>
    <x v="9"/>
    <x v="1"/>
    <x v="3"/>
    <x v="2"/>
  </r>
  <r>
    <x v="381"/>
    <x v="20"/>
    <x v="3"/>
    <x v="2"/>
    <x v="1"/>
    <x v="10"/>
    <x v="0"/>
    <x v="3"/>
    <x v="0"/>
  </r>
  <r>
    <x v="382"/>
    <x v="37"/>
    <x v="2"/>
    <x v="1"/>
    <x v="2"/>
    <x v="14"/>
    <x v="1"/>
    <x v="2"/>
    <x v="4"/>
  </r>
  <r>
    <x v="383"/>
    <x v="80"/>
    <x v="4"/>
    <x v="1"/>
    <x v="1"/>
    <x v="0"/>
    <x v="1"/>
    <x v="4"/>
    <x v="0"/>
  </r>
  <r>
    <x v="384"/>
    <x v="42"/>
    <x v="6"/>
    <x v="3"/>
    <x v="2"/>
    <x v="11"/>
    <x v="1"/>
    <x v="6"/>
    <x v="3"/>
  </r>
  <r>
    <x v="385"/>
    <x v="20"/>
    <x v="3"/>
    <x v="0"/>
    <x v="0"/>
    <x v="10"/>
    <x v="0"/>
    <x v="3"/>
    <x v="0"/>
  </r>
  <r>
    <x v="386"/>
    <x v="28"/>
    <x v="3"/>
    <x v="4"/>
    <x v="0"/>
    <x v="4"/>
    <x v="0"/>
    <x v="3"/>
    <x v="1"/>
  </r>
  <r>
    <x v="387"/>
    <x v="33"/>
    <x v="9"/>
    <x v="1"/>
    <x v="1"/>
    <x v="3"/>
    <x v="0"/>
    <x v="9"/>
    <x v="1"/>
  </r>
  <r>
    <x v="388"/>
    <x v="63"/>
    <x v="3"/>
    <x v="2"/>
    <x v="3"/>
    <x v="3"/>
    <x v="0"/>
    <x v="3"/>
    <x v="3"/>
  </r>
  <r>
    <x v="389"/>
    <x v="81"/>
    <x v="9"/>
    <x v="0"/>
    <x v="0"/>
    <x v="3"/>
    <x v="0"/>
    <x v="9"/>
    <x v="1"/>
  </r>
  <r>
    <x v="390"/>
    <x v="3"/>
    <x v="3"/>
    <x v="0"/>
    <x v="1"/>
    <x v="3"/>
    <x v="1"/>
    <x v="3"/>
    <x v="2"/>
  </r>
  <r>
    <x v="391"/>
    <x v="48"/>
    <x v="0"/>
    <x v="4"/>
    <x v="3"/>
    <x v="14"/>
    <x v="1"/>
    <x v="0"/>
    <x v="4"/>
  </r>
  <r>
    <x v="392"/>
    <x v="42"/>
    <x v="2"/>
    <x v="4"/>
    <x v="1"/>
    <x v="11"/>
    <x v="1"/>
    <x v="2"/>
    <x v="3"/>
  </r>
  <r>
    <x v="393"/>
    <x v="14"/>
    <x v="9"/>
    <x v="4"/>
    <x v="0"/>
    <x v="11"/>
    <x v="1"/>
    <x v="9"/>
    <x v="1"/>
  </r>
  <r>
    <x v="394"/>
    <x v="81"/>
    <x v="5"/>
    <x v="4"/>
    <x v="3"/>
    <x v="3"/>
    <x v="0"/>
    <x v="5"/>
    <x v="1"/>
  </r>
  <r>
    <x v="395"/>
    <x v="51"/>
    <x v="7"/>
    <x v="3"/>
    <x v="1"/>
    <x v="12"/>
    <x v="0"/>
    <x v="7"/>
    <x v="1"/>
  </r>
  <r>
    <x v="396"/>
    <x v="11"/>
    <x v="5"/>
    <x v="0"/>
    <x v="0"/>
    <x v="2"/>
    <x v="0"/>
    <x v="5"/>
    <x v="2"/>
  </r>
  <r>
    <x v="397"/>
    <x v="33"/>
    <x v="5"/>
    <x v="1"/>
    <x v="1"/>
    <x v="3"/>
    <x v="0"/>
    <x v="5"/>
    <x v="1"/>
  </r>
  <r>
    <x v="398"/>
    <x v="84"/>
    <x v="3"/>
    <x v="0"/>
    <x v="3"/>
    <x v="5"/>
    <x v="0"/>
    <x v="3"/>
    <x v="1"/>
  </r>
  <r>
    <x v="399"/>
    <x v="60"/>
    <x v="0"/>
    <x v="1"/>
    <x v="3"/>
    <x v="10"/>
    <x v="0"/>
    <x v="0"/>
    <x v="2"/>
  </r>
  <r>
    <x v="400"/>
    <x v="26"/>
    <x v="1"/>
    <x v="3"/>
    <x v="0"/>
    <x v="6"/>
    <x v="1"/>
    <x v="1"/>
    <x v="0"/>
  </r>
  <r>
    <x v="401"/>
    <x v="64"/>
    <x v="4"/>
    <x v="1"/>
    <x v="2"/>
    <x v="2"/>
    <x v="1"/>
    <x v="4"/>
    <x v="4"/>
  </r>
  <r>
    <x v="402"/>
    <x v="19"/>
    <x v="6"/>
    <x v="4"/>
    <x v="0"/>
    <x v="2"/>
    <x v="1"/>
    <x v="6"/>
    <x v="0"/>
  </r>
  <r>
    <x v="403"/>
    <x v="56"/>
    <x v="6"/>
    <x v="0"/>
    <x v="2"/>
    <x v="4"/>
    <x v="0"/>
    <x v="6"/>
    <x v="4"/>
  </r>
  <r>
    <x v="404"/>
    <x v="42"/>
    <x v="6"/>
    <x v="4"/>
    <x v="1"/>
    <x v="11"/>
    <x v="1"/>
    <x v="6"/>
    <x v="3"/>
  </r>
  <r>
    <x v="405"/>
    <x v="56"/>
    <x v="0"/>
    <x v="1"/>
    <x v="1"/>
    <x v="4"/>
    <x v="0"/>
    <x v="0"/>
    <x v="4"/>
  </r>
  <r>
    <x v="406"/>
    <x v="71"/>
    <x v="8"/>
    <x v="2"/>
    <x v="0"/>
    <x v="4"/>
    <x v="1"/>
    <x v="8"/>
    <x v="2"/>
  </r>
  <r>
    <x v="407"/>
    <x v="58"/>
    <x v="7"/>
    <x v="0"/>
    <x v="2"/>
    <x v="8"/>
    <x v="1"/>
    <x v="7"/>
    <x v="2"/>
  </r>
  <r>
    <x v="408"/>
    <x v="17"/>
    <x v="4"/>
    <x v="2"/>
    <x v="0"/>
    <x v="12"/>
    <x v="0"/>
    <x v="4"/>
    <x v="2"/>
  </r>
  <r>
    <x v="409"/>
    <x v="46"/>
    <x v="5"/>
    <x v="0"/>
    <x v="0"/>
    <x v="6"/>
    <x v="1"/>
    <x v="5"/>
    <x v="2"/>
  </r>
  <r>
    <x v="410"/>
    <x v="38"/>
    <x v="9"/>
    <x v="1"/>
    <x v="2"/>
    <x v="5"/>
    <x v="1"/>
    <x v="9"/>
    <x v="0"/>
  </r>
  <r>
    <x v="411"/>
    <x v="84"/>
    <x v="2"/>
    <x v="1"/>
    <x v="1"/>
    <x v="5"/>
    <x v="0"/>
    <x v="2"/>
    <x v="1"/>
  </r>
  <r>
    <x v="412"/>
    <x v="23"/>
    <x v="4"/>
    <x v="4"/>
    <x v="2"/>
    <x v="8"/>
    <x v="0"/>
    <x v="4"/>
    <x v="4"/>
  </r>
  <r>
    <x v="413"/>
    <x v="34"/>
    <x v="0"/>
    <x v="4"/>
    <x v="3"/>
    <x v="2"/>
    <x v="1"/>
    <x v="0"/>
    <x v="2"/>
  </r>
  <r>
    <x v="414"/>
    <x v="61"/>
    <x v="7"/>
    <x v="0"/>
    <x v="2"/>
    <x v="0"/>
    <x v="0"/>
    <x v="7"/>
    <x v="1"/>
  </r>
  <r>
    <x v="415"/>
    <x v="8"/>
    <x v="8"/>
    <x v="0"/>
    <x v="1"/>
    <x v="2"/>
    <x v="0"/>
    <x v="8"/>
    <x v="1"/>
  </r>
  <r>
    <x v="416"/>
    <x v="52"/>
    <x v="4"/>
    <x v="2"/>
    <x v="3"/>
    <x v="10"/>
    <x v="0"/>
    <x v="4"/>
    <x v="0"/>
  </r>
  <r>
    <x v="417"/>
    <x v="83"/>
    <x v="6"/>
    <x v="1"/>
    <x v="3"/>
    <x v="8"/>
    <x v="0"/>
    <x v="6"/>
    <x v="0"/>
  </r>
  <r>
    <x v="418"/>
    <x v="11"/>
    <x v="4"/>
    <x v="3"/>
    <x v="0"/>
    <x v="2"/>
    <x v="0"/>
    <x v="4"/>
    <x v="2"/>
  </r>
  <r>
    <x v="419"/>
    <x v="12"/>
    <x v="3"/>
    <x v="0"/>
    <x v="1"/>
    <x v="9"/>
    <x v="1"/>
    <x v="3"/>
    <x v="2"/>
  </r>
  <r>
    <x v="420"/>
    <x v="10"/>
    <x v="3"/>
    <x v="1"/>
    <x v="3"/>
    <x v="8"/>
    <x v="0"/>
    <x v="3"/>
    <x v="4"/>
  </r>
  <r>
    <x v="421"/>
    <x v="13"/>
    <x v="5"/>
    <x v="3"/>
    <x v="0"/>
    <x v="10"/>
    <x v="1"/>
    <x v="5"/>
    <x v="3"/>
  </r>
  <r>
    <x v="422"/>
    <x v="58"/>
    <x v="4"/>
    <x v="0"/>
    <x v="3"/>
    <x v="8"/>
    <x v="1"/>
    <x v="4"/>
    <x v="2"/>
  </r>
  <r>
    <x v="423"/>
    <x v="29"/>
    <x v="6"/>
    <x v="2"/>
    <x v="0"/>
    <x v="8"/>
    <x v="0"/>
    <x v="6"/>
    <x v="4"/>
  </r>
  <r>
    <x v="424"/>
    <x v="91"/>
    <x v="3"/>
    <x v="1"/>
    <x v="1"/>
    <x v="1"/>
    <x v="0"/>
    <x v="3"/>
    <x v="1"/>
  </r>
  <r>
    <x v="425"/>
    <x v="11"/>
    <x v="7"/>
    <x v="2"/>
    <x v="3"/>
    <x v="2"/>
    <x v="0"/>
    <x v="7"/>
    <x v="2"/>
  </r>
  <r>
    <x v="426"/>
    <x v="2"/>
    <x v="3"/>
    <x v="1"/>
    <x v="0"/>
    <x v="2"/>
    <x v="0"/>
    <x v="3"/>
    <x v="1"/>
  </r>
  <r>
    <x v="427"/>
    <x v="91"/>
    <x v="3"/>
    <x v="2"/>
    <x v="3"/>
    <x v="1"/>
    <x v="0"/>
    <x v="3"/>
    <x v="1"/>
  </r>
  <r>
    <x v="428"/>
    <x v="17"/>
    <x v="6"/>
    <x v="2"/>
    <x v="2"/>
    <x v="12"/>
    <x v="0"/>
    <x v="6"/>
    <x v="2"/>
  </r>
  <r>
    <x v="429"/>
    <x v="17"/>
    <x v="2"/>
    <x v="4"/>
    <x v="3"/>
    <x v="12"/>
    <x v="0"/>
    <x v="2"/>
    <x v="2"/>
  </r>
  <r>
    <x v="430"/>
    <x v="14"/>
    <x v="3"/>
    <x v="4"/>
    <x v="2"/>
    <x v="11"/>
    <x v="1"/>
    <x v="3"/>
    <x v="1"/>
  </r>
  <r>
    <x v="431"/>
    <x v="59"/>
    <x v="5"/>
    <x v="0"/>
    <x v="2"/>
    <x v="6"/>
    <x v="1"/>
    <x v="5"/>
    <x v="2"/>
  </r>
  <r>
    <x v="432"/>
    <x v="88"/>
    <x v="6"/>
    <x v="0"/>
    <x v="1"/>
    <x v="9"/>
    <x v="0"/>
    <x v="6"/>
    <x v="4"/>
  </r>
  <r>
    <x v="433"/>
    <x v="40"/>
    <x v="5"/>
    <x v="0"/>
    <x v="1"/>
    <x v="10"/>
    <x v="0"/>
    <x v="5"/>
    <x v="0"/>
  </r>
  <r>
    <x v="434"/>
    <x v="8"/>
    <x v="8"/>
    <x v="0"/>
    <x v="0"/>
    <x v="2"/>
    <x v="0"/>
    <x v="8"/>
    <x v="1"/>
  </r>
  <r>
    <x v="435"/>
    <x v="57"/>
    <x v="7"/>
    <x v="4"/>
    <x v="2"/>
    <x v="8"/>
    <x v="0"/>
    <x v="7"/>
    <x v="2"/>
  </r>
  <r>
    <x v="436"/>
    <x v="81"/>
    <x v="3"/>
    <x v="4"/>
    <x v="2"/>
    <x v="3"/>
    <x v="0"/>
    <x v="3"/>
    <x v="1"/>
  </r>
  <r>
    <x v="437"/>
    <x v="92"/>
    <x v="0"/>
    <x v="3"/>
    <x v="1"/>
    <x v="12"/>
    <x v="0"/>
    <x v="0"/>
    <x v="0"/>
  </r>
  <r>
    <x v="438"/>
    <x v="16"/>
    <x v="7"/>
    <x v="1"/>
    <x v="3"/>
    <x v="2"/>
    <x v="1"/>
    <x v="7"/>
    <x v="3"/>
  </r>
  <r>
    <x v="439"/>
    <x v="40"/>
    <x v="9"/>
    <x v="1"/>
    <x v="0"/>
    <x v="10"/>
    <x v="0"/>
    <x v="9"/>
    <x v="0"/>
  </r>
  <r>
    <x v="440"/>
    <x v="73"/>
    <x v="3"/>
    <x v="4"/>
    <x v="2"/>
    <x v="8"/>
    <x v="0"/>
    <x v="3"/>
    <x v="1"/>
  </r>
  <r>
    <x v="441"/>
    <x v="96"/>
    <x v="7"/>
    <x v="2"/>
    <x v="0"/>
    <x v="4"/>
    <x v="1"/>
    <x v="7"/>
    <x v="4"/>
  </r>
  <r>
    <x v="442"/>
    <x v="29"/>
    <x v="6"/>
    <x v="1"/>
    <x v="2"/>
    <x v="8"/>
    <x v="0"/>
    <x v="6"/>
    <x v="4"/>
  </r>
  <r>
    <x v="443"/>
    <x v="56"/>
    <x v="9"/>
    <x v="1"/>
    <x v="3"/>
    <x v="4"/>
    <x v="0"/>
    <x v="9"/>
    <x v="4"/>
  </r>
  <r>
    <x v="444"/>
    <x v="35"/>
    <x v="6"/>
    <x v="0"/>
    <x v="2"/>
    <x v="12"/>
    <x v="0"/>
    <x v="6"/>
    <x v="4"/>
  </r>
  <r>
    <x v="445"/>
    <x v="16"/>
    <x v="0"/>
    <x v="0"/>
    <x v="3"/>
    <x v="2"/>
    <x v="1"/>
    <x v="0"/>
    <x v="3"/>
  </r>
  <r>
    <x v="446"/>
    <x v="50"/>
    <x v="2"/>
    <x v="0"/>
    <x v="0"/>
    <x v="3"/>
    <x v="0"/>
    <x v="2"/>
    <x v="0"/>
  </r>
  <r>
    <x v="447"/>
    <x v="78"/>
    <x v="8"/>
    <x v="0"/>
    <x v="2"/>
    <x v="3"/>
    <x v="1"/>
    <x v="8"/>
    <x v="4"/>
  </r>
  <r>
    <x v="448"/>
    <x v="3"/>
    <x v="3"/>
    <x v="0"/>
    <x v="3"/>
    <x v="3"/>
    <x v="1"/>
    <x v="3"/>
    <x v="2"/>
  </r>
  <r>
    <x v="449"/>
    <x v="63"/>
    <x v="5"/>
    <x v="4"/>
    <x v="2"/>
    <x v="3"/>
    <x v="0"/>
    <x v="5"/>
    <x v="3"/>
  </r>
  <r>
    <x v="450"/>
    <x v="43"/>
    <x v="6"/>
    <x v="2"/>
    <x v="3"/>
    <x v="7"/>
    <x v="0"/>
    <x v="6"/>
    <x v="4"/>
  </r>
  <r>
    <x v="451"/>
    <x v="11"/>
    <x v="2"/>
    <x v="3"/>
    <x v="3"/>
    <x v="2"/>
    <x v="0"/>
    <x v="2"/>
    <x v="2"/>
  </r>
  <r>
    <x v="452"/>
    <x v="64"/>
    <x v="2"/>
    <x v="1"/>
    <x v="0"/>
    <x v="2"/>
    <x v="1"/>
    <x v="2"/>
    <x v="4"/>
  </r>
  <r>
    <x v="453"/>
    <x v="24"/>
    <x v="3"/>
    <x v="0"/>
    <x v="3"/>
    <x v="13"/>
    <x v="0"/>
    <x v="3"/>
    <x v="2"/>
  </r>
  <r>
    <x v="454"/>
    <x v="30"/>
    <x v="1"/>
    <x v="4"/>
    <x v="0"/>
    <x v="1"/>
    <x v="0"/>
    <x v="1"/>
    <x v="4"/>
  </r>
  <r>
    <x v="455"/>
    <x v="25"/>
    <x v="7"/>
    <x v="4"/>
    <x v="0"/>
    <x v="3"/>
    <x v="0"/>
    <x v="7"/>
    <x v="2"/>
  </r>
  <r>
    <x v="456"/>
    <x v="72"/>
    <x v="0"/>
    <x v="3"/>
    <x v="1"/>
    <x v="0"/>
    <x v="0"/>
    <x v="0"/>
    <x v="2"/>
  </r>
  <r>
    <x v="457"/>
    <x v="73"/>
    <x v="6"/>
    <x v="1"/>
    <x v="1"/>
    <x v="8"/>
    <x v="0"/>
    <x v="6"/>
    <x v="1"/>
  </r>
  <r>
    <x v="458"/>
    <x v="68"/>
    <x v="9"/>
    <x v="3"/>
    <x v="0"/>
    <x v="5"/>
    <x v="0"/>
    <x v="9"/>
    <x v="1"/>
  </r>
  <r>
    <x v="459"/>
    <x v="73"/>
    <x v="8"/>
    <x v="1"/>
    <x v="0"/>
    <x v="8"/>
    <x v="0"/>
    <x v="8"/>
    <x v="1"/>
  </r>
  <r>
    <x v="460"/>
    <x v="31"/>
    <x v="2"/>
    <x v="0"/>
    <x v="3"/>
    <x v="9"/>
    <x v="0"/>
    <x v="2"/>
    <x v="2"/>
  </r>
  <r>
    <x v="461"/>
    <x v="6"/>
    <x v="7"/>
    <x v="3"/>
    <x v="0"/>
    <x v="6"/>
    <x v="1"/>
    <x v="7"/>
    <x v="2"/>
  </r>
  <r>
    <x v="462"/>
    <x v="85"/>
    <x v="7"/>
    <x v="2"/>
    <x v="2"/>
    <x v="10"/>
    <x v="1"/>
    <x v="7"/>
    <x v="4"/>
  </r>
  <r>
    <x v="463"/>
    <x v="66"/>
    <x v="7"/>
    <x v="1"/>
    <x v="2"/>
    <x v="0"/>
    <x v="0"/>
    <x v="7"/>
    <x v="2"/>
  </r>
  <r>
    <x v="464"/>
    <x v="45"/>
    <x v="2"/>
    <x v="3"/>
    <x v="1"/>
    <x v="5"/>
    <x v="1"/>
    <x v="2"/>
    <x v="1"/>
  </r>
  <r>
    <x v="465"/>
    <x v="82"/>
    <x v="5"/>
    <x v="4"/>
    <x v="1"/>
    <x v="1"/>
    <x v="1"/>
    <x v="5"/>
    <x v="4"/>
  </r>
  <r>
    <x v="466"/>
    <x v="87"/>
    <x v="2"/>
    <x v="1"/>
    <x v="2"/>
    <x v="14"/>
    <x v="0"/>
    <x v="2"/>
    <x v="1"/>
  </r>
  <r>
    <x v="467"/>
    <x v="30"/>
    <x v="3"/>
    <x v="1"/>
    <x v="3"/>
    <x v="1"/>
    <x v="0"/>
    <x v="3"/>
    <x v="4"/>
  </r>
  <r>
    <x v="468"/>
    <x v="16"/>
    <x v="1"/>
    <x v="0"/>
    <x v="0"/>
    <x v="2"/>
    <x v="1"/>
    <x v="1"/>
    <x v="3"/>
  </r>
  <r>
    <x v="469"/>
    <x v="83"/>
    <x v="8"/>
    <x v="0"/>
    <x v="0"/>
    <x v="8"/>
    <x v="0"/>
    <x v="8"/>
    <x v="0"/>
  </r>
  <r>
    <x v="470"/>
    <x v="54"/>
    <x v="6"/>
    <x v="0"/>
    <x v="0"/>
    <x v="10"/>
    <x v="0"/>
    <x v="6"/>
    <x v="4"/>
  </r>
  <r>
    <x v="471"/>
    <x v="66"/>
    <x v="5"/>
    <x v="1"/>
    <x v="2"/>
    <x v="0"/>
    <x v="0"/>
    <x v="5"/>
    <x v="2"/>
  </r>
  <r>
    <x v="472"/>
    <x v="21"/>
    <x v="6"/>
    <x v="3"/>
    <x v="2"/>
    <x v="5"/>
    <x v="0"/>
    <x v="6"/>
    <x v="1"/>
  </r>
  <r>
    <x v="473"/>
    <x v="0"/>
    <x v="1"/>
    <x v="2"/>
    <x v="0"/>
    <x v="0"/>
    <x v="0"/>
    <x v="1"/>
    <x v="0"/>
  </r>
  <r>
    <x v="474"/>
    <x v="60"/>
    <x v="6"/>
    <x v="2"/>
    <x v="1"/>
    <x v="10"/>
    <x v="0"/>
    <x v="6"/>
    <x v="2"/>
  </r>
  <r>
    <x v="475"/>
    <x v="55"/>
    <x v="4"/>
    <x v="2"/>
    <x v="2"/>
    <x v="0"/>
    <x v="1"/>
    <x v="4"/>
    <x v="1"/>
  </r>
  <r>
    <x v="476"/>
    <x v="31"/>
    <x v="2"/>
    <x v="0"/>
    <x v="3"/>
    <x v="9"/>
    <x v="0"/>
    <x v="2"/>
    <x v="2"/>
  </r>
  <r>
    <x v="477"/>
    <x v="7"/>
    <x v="5"/>
    <x v="3"/>
    <x v="3"/>
    <x v="7"/>
    <x v="1"/>
    <x v="5"/>
    <x v="3"/>
  </r>
  <r>
    <x v="478"/>
    <x v="95"/>
    <x v="6"/>
    <x v="2"/>
    <x v="1"/>
    <x v="0"/>
    <x v="0"/>
    <x v="6"/>
    <x v="3"/>
  </r>
  <r>
    <x v="479"/>
    <x v="0"/>
    <x v="1"/>
    <x v="1"/>
    <x v="3"/>
    <x v="0"/>
    <x v="0"/>
    <x v="1"/>
    <x v="0"/>
  </r>
  <r>
    <x v="480"/>
    <x v="93"/>
    <x v="4"/>
    <x v="4"/>
    <x v="3"/>
    <x v="10"/>
    <x v="1"/>
    <x v="4"/>
    <x v="0"/>
  </r>
  <r>
    <x v="481"/>
    <x v="78"/>
    <x v="1"/>
    <x v="0"/>
    <x v="3"/>
    <x v="3"/>
    <x v="1"/>
    <x v="1"/>
    <x v="4"/>
  </r>
  <r>
    <x v="482"/>
    <x v="17"/>
    <x v="0"/>
    <x v="2"/>
    <x v="0"/>
    <x v="12"/>
    <x v="0"/>
    <x v="0"/>
    <x v="2"/>
  </r>
  <r>
    <x v="483"/>
    <x v="60"/>
    <x v="9"/>
    <x v="1"/>
    <x v="3"/>
    <x v="10"/>
    <x v="0"/>
    <x v="9"/>
    <x v="2"/>
  </r>
  <r>
    <x v="484"/>
    <x v="40"/>
    <x v="3"/>
    <x v="1"/>
    <x v="0"/>
    <x v="10"/>
    <x v="0"/>
    <x v="3"/>
    <x v="0"/>
  </r>
  <r>
    <x v="485"/>
    <x v="38"/>
    <x v="0"/>
    <x v="4"/>
    <x v="1"/>
    <x v="5"/>
    <x v="1"/>
    <x v="0"/>
    <x v="0"/>
  </r>
  <r>
    <x v="486"/>
    <x v="80"/>
    <x v="8"/>
    <x v="4"/>
    <x v="3"/>
    <x v="0"/>
    <x v="1"/>
    <x v="8"/>
    <x v="0"/>
  </r>
  <r>
    <x v="487"/>
    <x v="70"/>
    <x v="5"/>
    <x v="3"/>
    <x v="1"/>
    <x v="2"/>
    <x v="0"/>
    <x v="5"/>
    <x v="3"/>
  </r>
  <r>
    <x v="488"/>
    <x v="18"/>
    <x v="3"/>
    <x v="2"/>
    <x v="0"/>
    <x v="4"/>
    <x v="1"/>
    <x v="3"/>
    <x v="4"/>
  </r>
  <r>
    <x v="489"/>
    <x v="81"/>
    <x v="6"/>
    <x v="4"/>
    <x v="2"/>
    <x v="3"/>
    <x v="0"/>
    <x v="6"/>
    <x v="1"/>
  </r>
  <r>
    <x v="490"/>
    <x v="74"/>
    <x v="0"/>
    <x v="4"/>
    <x v="2"/>
    <x v="14"/>
    <x v="1"/>
    <x v="0"/>
    <x v="0"/>
  </r>
  <r>
    <x v="491"/>
    <x v="23"/>
    <x v="3"/>
    <x v="1"/>
    <x v="1"/>
    <x v="8"/>
    <x v="0"/>
    <x v="3"/>
    <x v="4"/>
  </r>
  <r>
    <x v="492"/>
    <x v="26"/>
    <x v="9"/>
    <x v="4"/>
    <x v="2"/>
    <x v="6"/>
    <x v="1"/>
    <x v="9"/>
    <x v="0"/>
  </r>
  <r>
    <x v="493"/>
    <x v="26"/>
    <x v="5"/>
    <x v="3"/>
    <x v="2"/>
    <x v="6"/>
    <x v="1"/>
    <x v="5"/>
    <x v="0"/>
  </r>
  <r>
    <x v="494"/>
    <x v="76"/>
    <x v="2"/>
    <x v="3"/>
    <x v="2"/>
    <x v="9"/>
    <x v="1"/>
    <x v="2"/>
    <x v="3"/>
  </r>
  <r>
    <x v="495"/>
    <x v="48"/>
    <x v="7"/>
    <x v="2"/>
    <x v="1"/>
    <x v="14"/>
    <x v="1"/>
    <x v="7"/>
    <x v="4"/>
  </r>
  <r>
    <x v="496"/>
    <x v="11"/>
    <x v="4"/>
    <x v="0"/>
    <x v="1"/>
    <x v="2"/>
    <x v="0"/>
    <x v="4"/>
    <x v="2"/>
  </r>
  <r>
    <x v="497"/>
    <x v="35"/>
    <x v="7"/>
    <x v="3"/>
    <x v="2"/>
    <x v="12"/>
    <x v="0"/>
    <x v="7"/>
    <x v="4"/>
  </r>
  <r>
    <x v="498"/>
    <x v="97"/>
    <x v="2"/>
    <x v="1"/>
    <x v="0"/>
    <x v="8"/>
    <x v="0"/>
    <x v="2"/>
    <x v="2"/>
  </r>
  <r>
    <x v="499"/>
    <x v="33"/>
    <x v="9"/>
    <x v="1"/>
    <x v="3"/>
    <x v="3"/>
    <x v="0"/>
    <x v="9"/>
    <x v="1"/>
  </r>
</pivotCacheRecords>
</file>

<file path=xl/pivotCache/pivotCacheRecords3.xml><?xml version="1.0" encoding="utf-8"?>
<pivotCacheRecords xmlns="http://schemas.openxmlformats.org/spreadsheetml/2006/main" xmlns:r="http://schemas.openxmlformats.org/officeDocument/2006/relationships" count="500">
  <r>
    <x v="0"/>
    <x v="0"/>
    <x v="0"/>
    <x v="0"/>
    <x v="0"/>
  </r>
  <r>
    <x v="1"/>
    <x v="0"/>
    <x v="1"/>
    <x v="1"/>
    <x v="1"/>
  </r>
  <r>
    <x v="2"/>
    <x v="0"/>
    <x v="2"/>
    <x v="2"/>
    <x v="1"/>
  </r>
  <r>
    <x v="3"/>
    <x v="0"/>
    <x v="3"/>
    <x v="3"/>
    <x v="0"/>
  </r>
  <r>
    <x v="4"/>
    <x v="0"/>
    <x v="4"/>
    <x v="4"/>
    <x v="0"/>
  </r>
  <r>
    <x v="5"/>
    <x v="1"/>
    <x v="1"/>
    <x v="1"/>
    <x v="1"/>
  </r>
  <r>
    <x v="6"/>
    <x v="1"/>
    <x v="4"/>
    <x v="4"/>
    <x v="0"/>
  </r>
  <r>
    <x v="7"/>
    <x v="1"/>
    <x v="2"/>
    <x v="2"/>
    <x v="1"/>
  </r>
  <r>
    <x v="8"/>
    <x v="1"/>
    <x v="5"/>
    <x v="5"/>
    <x v="1"/>
  </r>
  <r>
    <x v="9"/>
    <x v="1"/>
    <x v="0"/>
    <x v="0"/>
    <x v="0"/>
  </r>
  <r>
    <x v="10"/>
    <x v="1"/>
    <x v="0"/>
    <x v="0"/>
    <x v="0"/>
  </r>
  <r>
    <x v="11"/>
    <x v="2"/>
    <x v="2"/>
    <x v="2"/>
    <x v="1"/>
  </r>
  <r>
    <x v="12"/>
    <x v="2"/>
    <x v="6"/>
    <x v="6"/>
    <x v="0"/>
  </r>
  <r>
    <x v="13"/>
    <x v="2"/>
    <x v="0"/>
    <x v="0"/>
    <x v="0"/>
  </r>
  <r>
    <x v="14"/>
    <x v="3"/>
    <x v="3"/>
    <x v="3"/>
    <x v="0"/>
  </r>
  <r>
    <x v="15"/>
    <x v="3"/>
    <x v="7"/>
    <x v="7"/>
    <x v="0"/>
  </r>
  <r>
    <x v="16"/>
    <x v="3"/>
    <x v="7"/>
    <x v="7"/>
    <x v="0"/>
  </r>
  <r>
    <x v="17"/>
    <x v="3"/>
    <x v="4"/>
    <x v="4"/>
    <x v="0"/>
  </r>
  <r>
    <x v="18"/>
    <x v="3"/>
    <x v="1"/>
    <x v="1"/>
    <x v="1"/>
  </r>
  <r>
    <x v="19"/>
    <x v="3"/>
    <x v="2"/>
    <x v="2"/>
    <x v="1"/>
  </r>
  <r>
    <x v="20"/>
    <x v="4"/>
    <x v="5"/>
    <x v="5"/>
    <x v="1"/>
  </r>
  <r>
    <x v="21"/>
    <x v="5"/>
    <x v="1"/>
    <x v="1"/>
    <x v="1"/>
  </r>
  <r>
    <x v="22"/>
    <x v="5"/>
    <x v="8"/>
    <x v="8"/>
    <x v="1"/>
  </r>
  <r>
    <x v="23"/>
    <x v="5"/>
    <x v="0"/>
    <x v="0"/>
    <x v="0"/>
  </r>
  <r>
    <x v="24"/>
    <x v="5"/>
    <x v="3"/>
    <x v="3"/>
    <x v="0"/>
  </r>
  <r>
    <x v="25"/>
    <x v="5"/>
    <x v="3"/>
    <x v="3"/>
    <x v="0"/>
  </r>
  <r>
    <x v="26"/>
    <x v="5"/>
    <x v="1"/>
    <x v="1"/>
    <x v="1"/>
  </r>
  <r>
    <x v="27"/>
    <x v="5"/>
    <x v="0"/>
    <x v="0"/>
    <x v="0"/>
  </r>
  <r>
    <x v="28"/>
    <x v="5"/>
    <x v="0"/>
    <x v="0"/>
    <x v="0"/>
  </r>
  <r>
    <x v="29"/>
    <x v="5"/>
    <x v="4"/>
    <x v="4"/>
    <x v="0"/>
  </r>
  <r>
    <x v="30"/>
    <x v="5"/>
    <x v="1"/>
    <x v="1"/>
    <x v="1"/>
  </r>
  <r>
    <x v="31"/>
    <x v="5"/>
    <x v="8"/>
    <x v="8"/>
    <x v="1"/>
  </r>
  <r>
    <x v="32"/>
    <x v="5"/>
    <x v="5"/>
    <x v="5"/>
    <x v="1"/>
  </r>
  <r>
    <x v="33"/>
    <x v="5"/>
    <x v="1"/>
    <x v="1"/>
    <x v="1"/>
  </r>
  <r>
    <x v="34"/>
    <x v="6"/>
    <x v="5"/>
    <x v="5"/>
    <x v="1"/>
  </r>
  <r>
    <x v="35"/>
    <x v="6"/>
    <x v="3"/>
    <x v="3"/>
    <x v="0"/>
  </r>
  <r>
    <x v="36"/>
    <x v="6"/>
    <x v="2"/>
    <x v="2"/>
    <x v="1"/>
  </r>
  <r>
    <x v="37"/>
    <x v="6"/>
    <x v="8"/>
    <x v="8"/>
    <x v="1"/>
  </r>
  <r>
    <x v="38"/>
    <x v="7"/>
    <x v="1"/>
    <x v="1"/>
    <x v="1"/>
  </r>
  <r>
    <x v="39"/>
    <x v="7"/>
    <x v="6"/>
    <x v="6"/>
    <x v="0"/>
  </r>
  <r>
    <x v="40"/>
    <x v="8"/>
    <x v="1"/>
    <x v="1"/>
    <x v="1"/>
  </r>
  <r>
    <x v="41"/>
    <x v="8"/>
    <x v="1"/>
    <x v="1"/>
    <x v="1"/>
  </r>
  <r>
    <x v="42"/>
    <x v="8"/>
    <x v="5"/>
    <x v="5"/>
    <x v="1"/>
  </r>
  <r>
    <x v="43"/>
    <x v="8"/>
    <x v="9"/>
    <x v="9"/>
    <x v="1"/>
  </r>
  <r>
    <x v="44"/>
    <x v="8"/>
    <x v="2"/>
    <x v="2"/>
    <x v="1"/>
  </r>
  <r>
    <x v="45"/>
    <x v="8"/>
    <x v="6"/>
    <x v="6"/>
    <x v="0"/>
  </r>
  <r>
    <x v="46"/>
    <x v="8"/>
    <x v="0"/>
    <x v="0"/>
    <x v="0"/>
  </r>
  <r>
    <x v="47"/>
    <x v="8"/>
    <x v="5"/>
    <x v="5"/>
    <x v="1"/>
  </r>
  <r>
    <x v="48"/>
    <x v="9"/>
    <x v="8"/>
    <x v="8"/>
    <x v="1"/>
  </r>
  <r>
    <x v="49"/>
    <x v="9"/>
    <x v="6"/>
    <x v="6"/>
    <x v="0"/>
  </r>
  <r>
    <x v="50"/>
    <x v="9"/>
    <x v="2"/>
    <x v="2"/>
    <x v="1"/>
  </r>
  <r>
    <x v="51"/>
    <x v="9"/>
    <x v="1"/>
    <x v="1"/>
    <x v="1"/>
  </r>
  <r>
    <x v="52"/>
    <x v="9"/>
    <x v="4"/>
    <x v="4"/>
    <x v="0"/>
  </r>
  <r>
    <x v="53"/>
    <x v="10"/>
    <x v="1"/>
    <x v="1"/>
    <x v="1"/>
  </r>
  <r>
    <x v="54"/>
    <x v="10"/>
    <x v="3"/>
    <x v="3"/>
    <x v="0"/>
  </r>
  <r>
    <x v="55"/>
    <x v="10"/>
    <x v="7"/>
    <x v="7"/>
    <x v="0"/>
  </r>
  <r>
    <x v="56"/>
    <x v="10"/>
    <x v="4"/>
    <x v="4"/>
    <x v="0"/>
  </r>
  <r>
    <x v="57"/>
    <x v="10"/>
    <x v="0"/>
    <x v="0"/>
    <x v="0"/>
  </r>
  <r>
    <x v="58"/>
    <x v="10"/>
    <x v="1"/>
    <x v="1"/>
    <x v="1"/>
  </r>
  <r>
    <x v="59"/>
    <x v="10"/>
    <x v="0"/>
    <x v="0"/>
    <x v="0"/>
  </r>
  <r>
    <x v="60"/>
    <x v="11"/>
    <x v="3"/>
    <x v="3"/>
    <x v="0"/>
  </r>
  <r>
    <x v="61"/>
    <x v="11"/>
    <x v="0"/>
    <x v="0"/>
    <x v="0"/>
  </r>
  <r>
    <x v="62"/>
    <x v="11"/>
    <x v="3"/>
    <x v="3"/>
    <x v="0"/>
  </r>
  <r>
    <x v="63"/>
    <x v="11"/>
    <x v="3"/>
    <x v="3"/>
    <x v="0"/>
  </r>
  <r>
    <x v="64"/>
    <x v="11"/>
    <x v="1"/>
    <x v="1"/>
    <x v="1"/>
  </r>
  <r>
    <x v="65"/>
    <x v="11"/>
    <x v="9"/>
    <x v="9"/>
    <x v="1"/>
  </r>
  <r>
    <x v="66"/>
    <x v="12"/>
    <x v="3"/>
    <x v="3"/>
    <x v="0"/>
  </r>
  <r>
    <x v="67"/>
    <x v="12"/>
    <x v="6"/>
    <x v="6"/>
    <x v="0"/>
  </r>
  <r>
    <x v="68"/>
    <x v="12"/>
    <x v="0"/>
    <x v="0"/>
    <x v="0"/>
  </r>
  <r>
    <x v="69"/>
    <x v="12"/>
    <x v="7"/>
    <x v="7"/>
    <x v="0"/>
  </r>
  <r>
    <x v="70"/>
    <x v="12"/>
    <x v="9"/>
    <x v="9"/>
    <x v="1"/>
  </r>
  <r>
    <x v="71"/>
    <x v="12"/>
    <x v="9"/>
    <x v="9"/>
    <x v="1"/>
  </r>
  <r>
    <x v="72"/>
    <x v="12"/>
    <x v="8"/>
    <x v="8"/>
    <x v="1"/>
  </r>
  <r>
    <x v="73"/>
    <x v="12"/>
    <x v="1"/>
    <x v="1"/>
    <x v="1"/>
  </r>
  <r>
    <x v="74"/>
    <x v="13"/>
    <x v="5"/>
    <x v="5"/>
    <x v="1"/>
  </r>
  <r>
    <x v="75"/>
    <x v="13"/>
    <x v="3"/>
    <x v="3"/>
    <x v="0"/>
  </r>
  <r>
    <x v="76"/>
    <x v="13"/>
    <x v="1"/>
    <x v="1"/>
    <x v="1"/>
  </r>
  <r>
    <x v="77"/>
    <x v="14"/>
    <x v="1"/>
    <x v="1"/>
    <x v="1"/>
  </r>
  <r>
    <x v="78"/>
    <x v="14"/>
    <x v="5"/>
    <x v="5"/>
    <x v="1"/>
  </r>
  <r>
    <x v="79"/>
    <x v="14"/>
    <x v="6"/>
    <x v="6"/>
    <x v="0"/>
  </r>
  <r>
    <x v="80"/>
    <x v="14"/>
    <x v="3"/>
    <x v="3"/>
    <x v="0"/>
  </r>
  <r>
    <x v="81"/>
    <x v="15"/>
    <x v="9"/>
    <x v="9"/>
    <x v="1"/>
  </r>
  <r>
    <x v="82"/>
    <x v="15"/>
    <x v="6"/>
    <x v="6"/>
    <x v="0"/>
  </r>
  <r>
    <x v="83"/>
    <x v="15"/>
    <x v="2"/>
    <x v="2"/>
    <x v="1"/>
  </r>
  <r>
    <x v="84"/>
    <x v="15"/>
    <x v="6"/>
    <x v="6"/>
    <x v="0"/>
  </r>
  <r>
    <x v="85"/>
    <x v="15"/>
    <x v="8"/>
    <x v="8"/>
    <x v="1"/>
  </r>
  <r>
    <x v="86"/>
    <x v="15"/>
    <x v="0"/>
    <x v="0"/>
    <x v="0"/>
  </r>
  <r>
    <x v="87"/>
    <x v="15"/>
    <x v="9"/>
    <x v="9"/>
    <x v="1"/>
  </r>
  <r>
    <x v="88"/>
    <x v="15"/>
    <x v="4"/>
    <x v="4"/>
    <x v="0"/>
  </r>
  <r>
    <x v="89"/>
    <x v="16"/>
    <x v="4"/>
    <x v="4"/>
    <x v="0"/>
  </r>
  <r>
    <x v="90"/>
    <x v="16"/>
    <x v="9"/>
    <x v="9"/>
    <x v="1"/>
  </r>
  <r>
    <x v="91"/>
    <x v="16"/>
    <x v="9"/>
    <x v="9"/>
    <x v="1"/>
  </r>
  <r>
    <x v="92"/>
    <x v="16"/>
    <x v="1"/>
    <x v="1"/>
    <x v="1"/>
  </r>
  <r>
    <x v="93"/>
    <x v="16"/>
    <x v="5"/>
    <x v="5"/>
    <x v="1"/>
  </r>
  <r>
    <x v="94"/>
    <x v="16"/>
    <x v="9"/>
    <x v="9"/>
    <x v="1"/>
  </r>
  <r>
    <x v="95"/>
    <x v="16"/>
    <x v="7"/>
    <x v="7"/>
    <x v="0"/>
  </r>
  <r>
    <x v="96"/>
    <x v="16"/>
    <x v="0"/>
    <x v="0"/>
    <x v="0"/>
  </r>
  <r>
    <x v="97"/>
    <x v="16"/>
    <x v="5"/>
    <x v="5"/>
    <x v="1"/>
  </r>
  <r>
    <x v="98"/>
    <x v="16"/>
    <x v="0"/>
    <x v="0"/>
    <x v="0"/>
  </r>
  <r>
    <x v="99"/>
    <x v="17"/>
    <x v="6"/>
    <x v="6"/>
    <x v="0"/>
  </r>
  <r>
    <x v="100"/>
    <x v="17"/>
    <x v="8"/>
    <x v="8"/>
    <x v="1"/>
  </r>
  <r>
    <x v="101"/>
    <x v="17"/>
    <x v="2"/>
    <x v="2"/>
    <x v="1"/>
  </r>
  <r>
    <x v="102"/>
    <x v="17"/>
    <x v="8"/>
    <x v="8"/>
    <x v="1"/>
  </r>
  <r>
    <x v="103"/>
    <x v="17"/>
    <x v="7"/>
    <x v="7"/>
    <x v="0"/>
  </r>
  <r>
    <x v="104"/>
    <x v="17"/>
    <x v="3"/>
    <x v="3"/>
    <x v="0"/>
  </r>
  <r>
    <x v="105"/>
    <x v="17"/>
    <x v="7"/>
    <x v="7"/>
    <x v="0"/>
  </r>
  <r>
    <x v="106"/>
    <x v="17"/>
    <x v="9"/>
    <x v="9"/>
    <x v="1"/>
  </r>
  <r>
    <x v="107"/>
    <x v="18"/>
    <x v="5"/>
    <x v="5"/>
    <x v="1"/>
  </r>
  <r>
    <x v="108"/>
    <x v="18"/>
    <x v="4"/>
    <x v="4"/>
    <x v="0"/>
  </r>
  <r>
    <x v="109"/>
    <x v="18"/>
    <x v="3"/>
    <x v="3"/>
    <x v="0"/>
  </r>
  <r>
    <x v="110"/>
    <x v="19"/>
    <x v="6"/>
    <x v="6"/>
    <x v="0"/>
  </r>
  <r>
    <x v="111"/>
    <x v="20"/>
    <x v="3"/>
    <x v="3"/>
    <x v="0"/>
  </r>
  <r>
    <x v="112"/>
    <x v="20"/>
    <x v="1"/>
    <x v="1"/>
    <x v="1"/>
  </r>
  <r>
    <x v="113"/>
    <x v="21"/>
    <x v="2"/>
    <x v="2"/>
    <x v="1"/>
  </r>
  <r>
    <x v="114"/>
    <x v="21"/>
    <x v="5"/>
    <x v="5"/>
    <x v="1"/>
  </r>
  <r>
    <x v="115"/>
    <x v="21"/>
    <x v="2"/>
    <x v="2"/>
    <x v="1"/>
  </r>
  <r>
    <x v="116"/>
    <x v="21"/>
    <x v="4"/>
    <x v="4"/>
    <x v="0"/>
  </r>
  <r>
    <x v="117"/>
    <x v="21"/>
    <x v="9"/>
    <x v="9"/>
    <x v="1"/>
  </r>
  <r>
    <x v="118"/>
    <x v="21"/>
    <x v="0"/>
    <x v="0"/>
    <x v="0"/>
  </r>
  <r>
    <x v="119"/>
    <x v="22"/>
    <x v="9"/>
    <x v="9"/>
    <x v="1"/>
  </r>
  <r>
    <x v="120"/>
    <x v="22"/>
    <x v="7"/>
    <x v="7"/>
    <x v="0"/>
  </r>
  <r>
    <x v="121"/>
    <x v="22"/>
    <x v="8"/>
    <x v="8"/>
    <x v="1"/>
  </r>
  <r>
    <x v="122"/>
    <x v="22"/>
    <x v="4"/>
    <x v="4"/>
    <x v="0"/>
  </r>
  <r>
    <x v="123"/>
    <x v="23"/>
    <x v="8"/>
    <x v="8"/>
    <x v="1"/>
  </r>
  <r>
    <x v="124"/>
    <x v="23"/>
    <x v="6"/>
    <x v="6"/>
    <x v="0"/>
  </r>
  <r>
    <x v="125"/>
    <x v="23"/>
    <x v="4"/>
    <x v="4"/>
    <x v="0"/>
  </r>
  <r>
    <x v="126"/>
    <x v="23"/>
    <x v="6"/>
    <x v="6"/>
    <x v="0"/>
  </r>
  <r>
    <x v="127"/>
    <x v="23"/>
    <x v="5"/>
    <x v="5"/>
    <x v="1"/>
  </r>
  <r>
    <x v="128"/>
    <x v="24"/>
    <x v="1"/>
    <x v="1"/>
    <x v="1"/>
  </r>
  <r>
    <x v="129"/>
    <x v="24"/>
    <x v="3"/>
    <x v="3"/>
    <x v="0"/>
  </r>
  <r>
    <x v="130"/>
    <x v="24"/>
    <x v="8"/>
    <x v="8"/>
    <x v="1"/>
  </r>
  <r>
    <x v="131"/>
    <x v="24"/>
    <x v="3"/>
    <x v="3"/>
    <x v="0"/>
  </r>
  <r>
    <x v="132"/>
    <x v="24"/>
    <x v="7"/>
    <x v="7"/>
    <x v="0"/>
  </r>
  <r>
    <x v="133"/>
    <x v="25"/>
    <x v="2"/>
    <x v="2"/>
    <x v="1"/>
  </r>
  <r>
    <x v="134"/>
    <x v="25"/>
    <x v="8"/>
    <x v="8"/>
    <x v="1"/>
  </r>
  <r>
    <x v="135"/>
    <x v="25"/>
    <x v="9"/>
    <x v="9"/>
    <x v="1"/>
  </r>
  <r>
    <x v="136"/>
    <x v="26"/>
    <x v="1"/>
    <x v="1"/>
    <x v="1"/>
  </r>
  <r>
    <x v="137"/>
    <x v="26"/>
    <x v="1"/>
    <x v="1"/>
    <x v="1"/>
  </r>
  <r>
    <x v="138"/>
    <x v="26"/>
    <x v="5"/>
    <x v="5"/>
    <x v="1"/>
  </r>
  <r>
    <x v="139"/>
    <x v="26"/>
    <x v="0"/>
    <x v="0"/>
    <x v="0"/>
  </r>
  <r>
    <x v="140"/>
    <x v="27"/>
    <x v="7"/>
    <x v="7"/>
    <x v="0"/>
  </r>
  <r>
    <x v="141"/>
    <x v="27"/>
    <x v="1"/>
    <x v="1"/>
    <x v="1"/>
  </r>
  <r>
    <x v="142"/>
    <x v="27"/>
    <x v="3"/>
    <x v="3"/>
    <x v="0"/>
  </r>
  <r>
    <x v="143"/>
    <x v="27"/>
    <x v="5"/>
    <x v="5"/>
    <x v="1"/>
  </r>
  <r>
    <x v="144"/>
    <x v="28"/>
    <x v="1"/>
    <x v="1"/>
    <x v="1"/>
  </r>
  <r>
    <x v="145"/>
    <x v="28"/>
    <x v="7"/>
    <x v="7"/>
    <x v="0"/>
  </r>
  <r>
    <x v="146"/>
    <x v="28"/>
    <x v="6"/>
    <x v="6"/>
    <x v="0"/>
  </r>
  <r>
    <x v="147"/>
    <x v="28"/>
    <x v="0"/>
    <x v="0"/>
    <x v="0"/>
  </r>
  <r>
    <x v="148"/>
    <x v="28"/>
    <x v="9"/>
    <x v="9"/>
    <x v="1"/>
  </r>
  <r>
    <x v="149"/>
    <x v="29"/>
    <x v="5"/>
    <x v="5"/>
    <x v="1"/>
  </r>
  <r>
    <x v="150"/>
    <x v="29"/>
    <x v="2"/>
    <x v="2"/>
    <x v="1"/>
  </r>
  <r>
    <x v="151"/>
    <x v="29"/>
    <x v="3"/>
    <x v="3"/>
    <x v="0"/>
  </r>
  <r>
    <x v="152"/>
    <x v="30"/>
    <x v="6"/>
    <x v="6"/>
    <x v="0"/>
  </r>
  <r>
    <x v="153"/>
    <x v="30"/>
    <x v="2"/>
    <x v="2"/>
    <x v="1"/>
  </r>
  <r>
    <x v="154"/>
    <x v="30"/>
    <x v="3"/>
    <x v="3"/>
    <x v="0"/>
  </r>
  <r>
    <x v="155"/>
    <x v="30"/>
    <x v="7"/>
    <x v="7"/>
    <x v="0"/>
  </r>
  <r>
    <x v="156"/>
    <x v="30"/>
    <x v="6"/>
    <x v="6"/>
    <x v="0"/>
  </r>
  <r>
    <x v="157"/>
    <x v="30"/>
    <x v="8"/>
    <x v="8"/>
    <x v="1"/>
  </r>
  <r>
    <x v="158"/>
    <x v="31"/>
    <x v="7"/>
    <x v="7"/>
    <x v="0"/>
  </r>
  <r>
    <x v="159"/>
    <x v="31"/>
    <x v="3"/>
    <x v="3"/>
    <x v="0"/>
  </r>
  <r>
    <x v="160"/>
    <x v="31"/>
    <x v="8"/>
    <x v="8"/>
    <x v="1"/>
  </r>
  <r>
    <x v="161"/>
    <x v="31"/>
    <x v="4"/>
    <x v="4"/>
    <x v="0"/>
  </r>
  <r>
    <x v="162"/>
    <x v="31"/>
    <x v="8"/>
    <x v="8"/>
    <x v="1"/>
  </r>
  <r>
    <x v="163"/>
    <x v="31"/>
    <x v="3"/>
    <x v="3"/>
    <x v="0"/>
  </r>
  <r>
    <x v="164"/>
    <x v="31"/>
    <x v="3"/>
    <x v="3"/>
    <x v="0"/>
  </r>
  <r>
    <x v="165"/>
    <x v="31"/>
    <x v="8"/>
    <x v="8"/>
    <x v="1"/>
  </r>
  <r>
    <x v="166"/>
    <x v="32"/>
    <x v="0"/>
    <x v="0"/>
    <x v="0"/>
  </r>
  <r>
    <x v="167"/>
    <x v="32"/>
    <x v="7"/>
    <x v="7"/>
    <x v="0"/>
  </r>
  <r>
    <x v="168"/>
    <x v="32"/>
    <x v="1"/>
    <x v="1"/>
    <x v="1"/>
  </r>
  <r>
    <x v="169"/>
    <x v="33"/>
    <x v="9"/>
    <x v="9"/>
    <x v="1"/>
  </r>
  <r>
    <x v="170"/>
    <x v="33"/>
    <x v="5"/>
    <x v="5"/>
    <x v="1"/>
  </r>
  <r>
    <x v="171"/>
    <x v="33"/>
    <x v="6"/>
    <x v="6"/>
    <x v="0"/>
  </r>
  <r>
    <x v="172"/>
    <x v="34"/>
    <x v="7"/>
    <x v="7"/>
    <x v="0"/>
  </r>
  <r>
    <x v="173"/>
    <x v="34"/>
    <x v="6"/>
    <x v="6"/>
    <x v="0"/>
  </r>
  <r>
    <x v="174"/>
    <x v="34"/>
    <x v="2"/>
    <x v="2"/>
    <x v="1"/>
  </r>
  <r>
    <x v="175"/>
    <x v="34"/>
    <x v="8"/>
    <x v="8"/>
    <x v="1"/>
  </r>
  <r>
    <x v="176"/>
    <x v="34"/>
    <x v="2"/>
    <x v="2"/>
    <x v="1"/>
  </r>
  <r>
    <x v="177"/>
    <x v="34"/>
    <x v="4"/>
    <x v="4"/>
    <x v="0"/>
  </r>
  <r>
    <x v="178"/>
    <x v="34"/>
    <x v="8"/>
    <x v="8"/>
    <x v="1"/>
  </r>
  <r>
    <x v="179"/>
    <x v="35"/>
    <x v="9"/>
    <x v="9"/>
    <x v="1"/>
  </r>
  <r>
    <x v="180"/>
    <x v="35"/>
    <x v="6"/>
    <x v="6"/>
    <x v="0"/>
  </r>
  <r>
    <x v="181"/>
    <x v="35"/>
    <x v="3"/>
    <x v="3"/>
    <x v="0"/>
  </r>
  <r>
    <x v="182"/>
    <x v="35"/>
    <x v="7"/>
    <x v="7"/>
    <x v="0"/>
  </r>
  <r>
    <x v="183"/>
    <x v="35"/>
    <x v="7"/>
    <x v="7"/>
    <x v="0"/>
  </r>
  <r>
    <x v="184"/>
    <x v="36"/>
    <x v="8"/>
    <x v="8"/>
    <x v="1"/>
  </r>
  <r>
    <x v="185"/>
    <x v="37"/>
    <x v="3"/>
    <x v="3"/>
    <x v="0"/>
  </r>
  <r>
    <x v="186"/>
    <x v="37"/>
    <x v="2"/>
    <x v="2"/>
    <x v="1"/>
  </r>
  <r>
    <x v="187"/>
    <x v="37"/>
    <x v="4"/>
    <x v="4"/>
    <x v="0"/>
  </r>
  <r>
    <x v="188"/>
    <x v="38"/>
    <x v="4"/>
    <x v="4"/>
    <x v="0"/>
  </r>
  <r>
    <x v="189"/>
    <x v="38"/>
    <x v="9"/>
    <x v="9"/>
    <x v="1"/>
  </r>
  <r>
    <x v="190"/>
    <x v="38"/>
    <x v="6"/>
    <x v="6"/>
    <x v="0"/>
  </r>
  <r>
    <x v="191"/>
    <x v="38"/>
    <x v="1"/>
    <x v="1"/>
    <x v="1"/>
  </r>
  <r>
    <x v="192"/>
    <x v="38"/>
    <x v="9"/>
    <x v="9"/>
    <x v="1"/>
  </r>
  <r>
    <x v="193"/>
    <x v="38"/>
    <x v="2"/>
    <x v="2"/>
    <x v="1"/>
  </r>
  <r>
    <x v="194"/>
    <x v="39"/>
    <x v="7"/>
    <x v="7"/>
    <x v="0"/>
  </r>
  <r>
    <x v="195"/>
    <x v="39"/>
    <x v="5"/>
    <x v="5"/>
    <x v="1"/>
  </r>
  <r>
    <x v="196"/>
    <x v="39"/>
    <x v="7"/>
    <x v="7"/>
    <x v="0"/>
  </r>
  <r>
    <x v="197"/>
    <x v="39"/>
    <x v="5"/>
    <x v="5"/>
    <x v="1"/>
  </r>
  <r>
    <x v="198"/>
    <x v="39"/>
    <x v="0"/>
    <x v="0"/>
    <x v="0"/>
  </r>
  <r>
    <x v="199"/>
    <x v="39"/>
    <x v="3"/>
    <x v="3"/>
    <x v="0"/>
  </r>
  <r>
    <x v="200"/>
    <x v="39"/>
    <x v="2"/>
    <x v="2"/>
    <x v="1"/>
  </r>
  <r>
    <x v="201"/>
    <x v="40"/>
    <x v="3"/>
    <x v="3"/>
    <x v="0"/>
  </r>
  <r>
    <x v="202"/>
    <x v="40"/>
    <x v="8"/>
    <x v="8"/>
    <x v="1"/>
  </r>
  <r>
    <x v="203"/>
    <x v="40"/>
    <x v="1"/>
    <x v="1"/>
    <x v="1"/>
  </r>
  <r>
    <x v="204"/>
    <x v="40"/>
    <x v="4"/>
    <x v="4"/>
    <x v="0"/>
  </r>
  <r>
    <x v="205"/>
    <x v="40"/>
    <x v="7"/>
    <x v="7"/>
    <x v="0"/>
  </r>
  <r>
    <x v="206"/>
    <x v="40"/>
    <x v="4"/>
    <x v="4"/>
    <x v="0"/>
  </r>
  <r>
    <x v="207"/>
    <x v="41"/>
    <x v="3"/>
    <x v="3"/>
    <x v="0"/>
  </r>
  <r>
    <x v="208"/>
    <x v="41"/>
    <x v="2"/>
    <x v="2"/>
    <x v="1"/>
  </r>
  <r>
    <x v="209"/>
    <x v="41"/>
    <x v="5"/>
    <x v="5"/>
    <x v="1"/>
  </r>
  <r>
    <x v="210"/>
    <x v="42"/>
    <x v="1"/>
    <x v="1"/>
    <x v="1"/>
  </r>
  <r>
    <x v="211"/>
    <x v="42"/>
    <x v="8"/>
    <x v="8"/>
    <x v="1"/>
  </r>
  <r>
    <x v="212"/>
    <x v="42"/>
    <x v="6"/>
    <x v="6"/>
    <x v="0"/>
  </r>
  <r>
    <x v="213"/>
    <x v="43"/>
    <x v="5"/>
    <x v="5"/>
    <x v="1"/>
  </r>
  <r>
    <x v="214"/>
    <x v="43"/>
    <x v="1"/>
    <x v="1"/>
    <x v="1"/>
  </r>
  <r>
    <x v="215"/>
    <x v="43"/>
    <x v="0"/>
    <x v="0"/>
    <x v="0"/>
  </r>
  <r>
    <x v="216"/>
    <x v="43"/>
    <x v="9"/>
    <x v="9"/>
    <x v="1"/>
  </r>
  <r>
    <x v="217"/>
    <x v="43"/>
    <x v="1"/>
    <x v="1"/>
    <x v="1"/>
  </r>
  <r>
    <x v="218"/>
    <x v="43"/>
    <x v="2"/>
    <x v="2"/>
    <x v="1"/>
  </r>
  <r>
    <x v="219"/>
    <x v="43"/>
    <x v="9"/>
    <x v="9"/>
    <x v="1"/>
  </r>
  <r>
    <x v="220"/>
    <x v="43"/>
    <x v="9"/>
    <x v="9"/>
    <x v="1"/>
  </r>
  <r>
    <x v="221"/>
    <x v="44"/>
    <x v="1"/>
    <x v="1"/>
    <x v="1"/>
  </r>
  <r>
    <x v="222"/>
    <x v="44"/>
    <x v="2"/>
    <x v="2"/>
    <x v="1"/>
  </r>
  <r>
    <x v="223"/>
    <x v="44"/>
    <x v="0"/>
    <x v="0"/>
    <x v="0"/>
  </r>
  <r>
    <x v="224"/>
    <x v="44"/>
    <x v="9"/>
    <x v="9"/>
    <x v="1"/>
  </r>
  <r>
    <x v="225"/>
    <x v="44"/>
    <x v="1"/>
    <x v="1"/>
    <x v="1"/>
  </r>
  <r>
    <x v="226"/>
    <x v="44"/>
    <x v="9"/>
    <x v="9"/>
    <x v="1"/>
  </r>
  <r>
    <x v="227"/>
    <x v="44"/>
    <x v="9"/>
    <x v="9"/>
    <x v="1"/>
  </r>
  <r>
    <x v="228"/>
    <x v="45"/>
    <x v="1"/>
    <x v="1"/>
    <x v="1"/>
  </r>
  <r>
    <x v="229"/>
    <x v="45"/>
    <x v="9"/>
    <x v="9"/>
    <x v="1"/>
  </r>
  <r>
    <x v="230"/>
    <x v="45"/>
    <x v="5"/>
    <x v="5"/>
    <x v="1"/>
  </r>
  <r>
    <x v="231"/>
    <x v="45"/>
    <x v="5"/>
    <x v="5"/>
    <x v="1"/>
  </r>
  <r>
    <x v="232"/>
    <x v="45"/>
    <x v="6"/>
    <x v="6"/>
    <x v="0"/>
  </r>
  <r>
    <x v="233"/>
    <x v="46"/>
    <x v="4"/>
    <x v="4"/>
    <x v="0"/>
  </r>
  <r>
    <x v="234"/>
    <x v="46"/>
    <x v="9"/>
    <x v="9"/>
    <x v="1"/>
  </r>
  <r>
    <x v="235"/>
    <x v="47"/>
    <x v="4"/>
    <x v="4"/>
    <x v="0"/>
  </r>
  <r>
    <x v="236"/>
    <x v="47"/>
    <x v="3"/>
    <x v="3"/>
    <x v="0"/>
  </r>
  <r>
    <x v="237"/>
    <x v="47"/>
    <x v="2"/>
    <x v="2"/>
    <x v="1"/>
  </r>
  <r>
    <x v="238"/>
    <x v="47"/>
    <x v="6"/>
    <x v="6"/>
    <x v="0"/>
  </r>
  <r>
    <x v="239"/>
    <x v="47"/>
    <x v="9"/>
    <x v="9"/>
    <x v="1"/>
  </r>
  <r>
    <x v="240"/>
    <x v="48"/>
    <x v="4"/>
    <x v="4"/>
    <x v="0"/>
  </r>
  <r>
    <x v="241"/>
    <x v="48"/>
    <x v="3"/>
    <x v="3"/>
    <x v="0"/>
  </r>
  <r>
    <x v="242"/>
    <x v="48"/>
    <x v="5"/>
    <x v="5"/>
    <x v="1"/>
  </r>
  <r>
    <x v="243"/>
    <x v="48"/>
    <x v="0"/>
    <x v="0"/>
    <x v="0"/>
  </r>
  <r>
    <x v="244"/>
    <x v="49"/>
    <x v="5"/>
    <x v="5"/>
    <x v="1"/>
  </r>
  <r>
    <x v="245"/>
    <x v="49"/>
    <x v="1"/>
    <x v="1"/>
    <x v="1"/>
  </r>
  <r>
    <x v="246"/>
    <x v="49"/>
    <x v="8"/>
    <x v="8"/>
    <x v="1"/>
  </r>
  <r>
    <x v="247"/>
    <x v="50"/>
    <x v="6"/>
    <x v="6"/>
    <x v="0"/>
  </r>
  <r>
    <x v="248"/>
    <x v="50"/>
    <x v="0"/>
    <x v="0"/>
    <x v="0"/>
  </r>
  <r>
    <x v="249"/>
    <x v="50"/>
    <x v="9"/>
    <x v="9"/>
    <x v="1"/>
  </r>
  <r>
    <x v="250"/>
    <x v="50"/>
    <x v="0"/>
    <x v="0"/>
    <x v="0"/>
  </r>
  <r>
    <x v="251"/>
    <x v="50"/>
    <x v="6"/>
    <x v="6"/>
    <x v="0"/>
  </r>
  <r>
    <x v="252"/>
    <x v="51"/>
    <x v="9"/>
    <x v="9"/>
    <x v="1"/>
  </r>
  <r>
    <x v="253"/>
    <x v="51"/>
    <x v="7"/>
    <x v="7"/>
    <x v="0"/>
  </r>
  <r>
    <x v="254"/>
    <x v="51"/>
    <x v="6"/>
    <x v="6"/>
    <x v="0"/>
  </r>
  <r>
    <x v="255"/>
    <x v="51"/>
    <x v="5"/>
    <x v="5"/>
    <x v="1"/>
  </r>
  <r>
    <x v="256"/>
    <x v="51"/>
    <x v="4"/>
    <x v="4"/>
    <x v="0"/>
  </r>
  <r>
    <x v="257"/>
    <x v="51"/>
    <x v="2"/>
    <x v="2"/>
    <x v="1"/>
  </r>
  <r>
    <x v="258"/>
    <x v="51"/>
    <x v="9"/>
    <x v="9"/>
    <x v="1"/>
  </r>
  <r>
    <x v="259"/>
    <x v="52"/>
    <x v="7"/>
    <x v="7"/>
    <x v="0"/>
  </r>
  <r>
    <x v="260"/>
    <x v="52"/>
    <x v="9"/>
    <x v="9"/>
    <x v="1"/>
  </r>
  <r>
    <x v="261"/>
    <x v="53"/>
    <x v="4"/>
    <x v="4"/>
    <x v="0"/>
  </r>
  <r>
    <x v="262"/>
    <x v="53"/>
    <x v="0"/>
    <x v="0"/>
    <x v="0"/>
  </r>
  <r>
    <x v="263"/>
    <x v="53"/>
    <x v="2"/>
    <x v="2"/>
    <x v="1"/>
  </r>
  <r>
    <x v="264"/>
    <x v="53"/>
    <x v="4"/>
    <x v="4"/>
    <x v="0"/>
  </r>
  <r>
    <x v="265"/>
    <x v="53"/>
    <x v="0"/>
    <x v="0"/>
    <x v="0"/>
  </r>
  <r>
    <x v="266"/>
    <x v="53"/>
    <x v="6"/>
    <x v="6"/>
    <x v="0"/>
  </r>
  <r>
    <x v="267"/>
    <x v="53"/>
    <x v="7"/>
    <x v="7"/>
    <x v="0"/>
  </r>
  <r>
    <x v="268"/>
    <x v="54"/>
    <x v="5"/>
    <x v="5"/>
    <x v="1"/>
  </r>
  <r>
    <x v="269"/>
    <x v="54"/>
    <x v="7"/>
    <x v="7"/>
    <x v="0"/>
  </r>
  <r>
    <x v="270"/>
    <x v="54"/>
    <x v="0"/>
    <x v="0"/>
    <x v="0"/>
  </r>
  <r>
    <x v="271"/>
    <x v="54"/>
    <x v="6"/>
    <x v="6"/>
    <x v="0"/>
  </r>
  <r>
    <x v="272"/>
    <x v="54"/>
    <x v="4"/>
    <x v="4"/>
    <x v="0"/>
  </r>
  <r>
    <x v="273"/>
    <x v="54"/>
    <x v="1"/>
    <x v="1"/>
    <x v="1"/>
  </r>
  <r>
    <x v="274"/>
    <x v="54"/>
    <x v="5"/>
    <x v="5"/>
    <x v="1"/>
  </r>
  <r>
    <x v="275"/>
    <x v="55"/>
    <x v="5"/>
    <x v="5"/>
    <x v="1"/>
  </r>
  <r>
    <x v="276"/>
    <x v="55"/>
    <x v="8"/>
    <x v="8"/>
    <x v="1"/>
  </r>
  <r>
    <x v="277"/>
    <x v="55"/>
    <x v="9"/>
    <x v="9"/>
    <x v="1"/>
  </r>
  <r>
    <x v="278"/>
    <x v="55"/>
    <x v="8"/>
    <x v="8"/>
    <x v="1"/>
  </r>
  <r>
    <x v="279"/>
    <x v="55"/>
    <x v="4"/>
    <x v="4"/>
    <x v="0"/>
  </r>
  <r>
    <x v="280"/>
    <x v="55"/>
    <x v="9"/>
    <x v="9"/>
    <x v="1"/>
  </r>
  <r>
    <x v="281"/>
    <x v="55"/>
    <x v="4"/>
    <x v="4"/>
    <x v="0"/>
  </r>
  <r>
    <x v="282"/>
    <x v="56"/>
    <x v="1"/>
    <x v="1"/>
    <x v="1"/>
  </r>
  <r>
    <x v="283"/>
    <x v="56"/>
    <x v="0"/>
    <x v="0"/>
    <x v="0"/>
  </r>
  <r>
    <x v="284"/>
    <x v="56"/>
    <x v="0"/>
    <x v="0"/>
    <x v="0"/>
  </r>
  <r>
    <x v="285"/>
    <x v="56"/>
    <x v="9"/>
    <x v="9"/>
    <x v="1"/>
  </r>
  <r>
    <x v="286"/>
    <x v="56"/>
    <x v="7"/>
    <x v="7"/>
    <x v="0"/>
  </r>
  <r>
    <x v="287"/>
    <x v="56"/>
    <x v="2"/>
    <x v="2"/>
    <x v="1"/>
  </r>
  <r>
    <x v="288"/>
    <x v="56"/>
    <x v="4"/>
    <x v="4"/>
    <x v="0"/>
  </r>
  <r>
    <x v="289"/>
    <x v="57"/>
    <x v="6"/>
    <x v="6"/>
    <x v="0"/>
  </r>
  <r>
    <x v="290"/>
    <x v="57"/>
    <x v="4"/>
    <x v="4"/>
    <x v="0"/>
  </r>
  <r>
    <x v="291"/>
    <x v="57"/>
    <x v="5"/>
    <x v="5"/>
    <x v="1"/>
  </r>
  <r>
    <x v="292"/>
    <x v="57"/>
    <x v="9"/>
    <x v="9"/>
    <x v="1"/>
  </r>
  <r>
    <x v="293"/>
    <x v="57"/>
    <x v="9"/>
    <x v="9"/>
    <x v="1"/>
  </r>
  <r>
    <x v="294"/>
    <x v="58"/>
    <x v="3"/>
    <x v="3"/>
    <x v="0"/>
  </r>
  <r>
    <x v="295"/>
    <x v="58"/>
    <x v="3"/>
    <x v="3"/>
    <x v="0"/>
  </r>
  <r>
    <x v="296"/>
    <x v="58"/>
    <x v="8"/>
    <x v="8"/>
    <x v="1"/>
  </r>
  <r>
    <x v="297"/>
    <x v="58"/>
    <x v="3"/>
    <x v="3"/>
    <x v="0"/>
  </r>
  <r>
    <x v="298"/>
    <x v="58"/>
    <x v="9"/>
    <x v="9"/>
    <x v="1"/>
  </r>
  <r>
    <x v="299"/>
    <x v="59"/>
    <x v="6"/>
    <x v="6"/>
    <x v="0"/>
  </r>
  <r>
    <x v="300"/>
    <x v="59"/>
    <x v="3"/>
    <x v="3"/>
    <x v="0"/>
  </r>
  <r>
    <x v="301"/>
    <x v="59"/>
    <x v="0"/>
    <x v="0"/>
    <x v="0"/>
  </r>
  <r>
    <x v="302"/>
    <x v="59"/>
    <x v="2"/>
    <x v="2"/>
    <x v="1"/>
  </r>
  <r>
    <x v="303"/>
    <x v="60"/>
    <x v="3"/>
    <x v="3"/>
    <x v="0"/>
  </r>
  <r>
    <x v="304"/>
    <x v="60"/>
    <x v="8"/>
    <x v="8"/>
    <x v="1"/>
  </r>
  <r>
    <x v="305"/>
    <x v="61"/>
    <x v="7"/>
    <x v="7"/>
    <x v="0"/>
  </r>
  <r>
    <x v="306"/>
    <x v="61"/>
    <x v="9"/>
    <x v="9"/>
    <x v="1"/>
  </r>
  <r>
    <x v="307"/>
    <x v="61"/>
    <x v="5"/>
    <x v="5"/>
    <x v="1"/>
  </r>
  <r>
    <x v="308"/>
    <x v="62"/>
    <x v="5"/>
    <x v="5"/>
    <x v="1"/>
  </r>
  <r>
    <x v="309"/>
    <x v="62"/>
    <x v="5"/>
    <x v="5"/>
    <x v="1"/>
  </r>
  <r>
    <x v="310"/>
    <x v="62"/>
    <x v="7"/>
    <x v="7"/>
    <x v="0"/>
  </r>
  <r>
    <x v="311"/>
    <x v="62"/>
    <x v="0"/>
    <x v="0"/>
    <x v="0"/>
  </r>
  <r>
    <x v="312"/>
    <x v="62"/>
    <x v="2"/>
    <x v="2"/>
    <x v="1"/>
  </r>
  <r>
    <x v="313"/>
    <x v="62"/>
    <x v="9"/>
    <x v="9"/>
    <x v="1"/>
  </r>
  <r>
    <x v="314"/>
    <x v="63"/>
    <x v="6"/>
    <x v="6"/>
    <x v="0"/>
  </r>
  <r>
    <x v="315"/>
    <x v="63"/>
    <x v="5"/>
    <x v="5"/>
    <x v="1"/>
  </r>
  <r>
    <x v="316"/>
    <x v="63"/>
    <x v="0"/>
    <x v="0"/>
    <x v="0"/>
  </r>
  <r>
    <x v="317"/>
    <x v="63"/>
    <x v="3"/>
    <x v="3"/>
    <x v="0"/>
  </r>
  <r>
    <x v="318"/>
    <x v="63"/>
    <x v="0"/>
    <x v="0"/>
    <x v="0"/>
  </r>
  <r>
    <x v="319"/>
    <x v="64"/>
    <x v="5"/>
    <x v="5"/>
    <x v="1"/>
  </r>
  <r>
    <x v="320"/>
    <x v="65"/>
    <x v="1"/>
    <x v="1"/>
    <x v="1"/>
  </r>
  <r>
    <x v="321"/>
    <x v="65"/>
    <x v="9"/>
    <x v="9"/>
    <x v="1"/>
  </r>
  <r>
    <x v="322"/>
    <x v="65"/>
    <x v="9"/>
    <x v="9"/>
    <x v="1"/>
  </r>
  <r>
    <x v="323"/>
    <x v="65"/>
    <x v="0"/>
    <x v="0"/>
    <x v="0"/>
  </r>
  <r>
    <x v="324"/>
    <x v="65"/>
    <x v="0"/>
    <x v="0"/>
    <x v="0"/>
  </r>
  <r>
    <x v="325"/>
    <x v="65"/>
    <x v="1"/>
    <x v="1"/>
    <x v="1"/>
  </r>
  <r>
    <x v="326"/>
    <x v="65"/>
    <x v="6"/>
    <x v="6"/>
    <x v="0"/>
  </r>
  <r>
    <x v="327"/>
    <x v="66"/>
    <x v="2"/>
    <x v="2"/>
    <x v="1"/>
  </r>
  <r>
    <x v="328"/>
    <x v="66"/>
    <x v="8"/>
    <x v="8"/>
    <x v="1"/>
  </r>
  <r>
    <x v="329"/>
    <x v="67"/>
    <x v="7"/>
    <x v="7"/>
    <x v="0"/>
  </r>
  <r>
    <x v="330"/>
    <x v="67"/>
    <x v="6"/>
    <x v="6"/>
    <x v="0"/>
  </r>
  <r>
    <x v="331"/>
    <x v="67"/>
    <x v="6"/>
    <x v="6"/>
    <x v="0"/>
  </r>
  <r>
    <x v="332"/>
    <x v="67"/>
    <x v="5"/>
    <x v="5"/>
    <x v="1"/>
  </r>
  <r>
    <x v="333"/>
    <x v="67"/>
    <x v="0"/>
    <x v="0"/>
    <x v="0"/>
  </r>
  <r>
    <x v="334"/>
    <x v="67"/>
    <x v="8"/>
    <x v="8"/>
    <x v="1"/>
  </r>
  <r>
    <x v="335"/>
    <x v="68"/>
    <x v="8"/>
    <x v="8"/>
    <x v="1"/>
  </r>
  <r>
    <x v="336"/>
    <x v="68"/>
    <x v="6"/>
    <x v="6"/>
    <x v="0"/>
  </r>
  <r>
    <x v="337"/>
    <x v="68"/>
    <x v="9"/>
    <x v="9"/>
    <x v="1"/>
  </r>
  <r>
    <x v="338"/>
    <x v="68"/>
    <x v="7"/>
    <x v="7"/>
    <x v="0"/>
  </r>
  <r>
    <x v="339"/>
    <x v="68"/>
    <x v="9"/>
    <x v="9"/>
    <x v="1"/>
  </r>
  <r>
    <x v="340"/>
    <x v="69"/>
    <x v="3"/>
    <x v="3"/>
    <x v="0"/>
  </r>
  <r>
    <x v="341"/>
    <x v="69"/>
    <x v="8"/>
    <x v="8"/>
    <x v="1"/>
  </r>
  <r>
    <x v="342"/>
    <x v="69"/>
    <x v="3"/>
    <x v="3"/>
    <x v="0"/>
  </r>
  <r>
    <x v="343"/>
    <x v="69"/>
    <x v="0"/>
    <x v="0"/>
    <x v="0"/>
  </r>
  <r>
    <x v="344"/>
    <x v="69"/>
    <x v="7"/>
    <x v="7"/>
    <x v="0"/>
  </r>
  <r>
    <x v="345"/>
    <x v="69"/>
    <x v="0"/>
    <x v="0"/>
    <x v="0"/>
  </r>
  <r>
    <x v="346"/>
    <x v="69"/>
    <x v="0"/>
    <x v="0"/>
    <x v="0"/>
  </r>
  <r>
    <x v="347"/>
    <x v="70"/>
    <x v="3"/>
    <x v="3"/>
    <x v="0"/>
  </r>
  <r>
    <x v="348"/>
    <x v="70"/>
    <x v="8"/>
    <x v="8"/>
    <x v="1"/>
  </r>
  <r>
    <x v="349"/>
    <x v="70"/>
    <x v="5"/>
    <x v="5"/>
    <x v="1"/>
  </r>
  <r>
    <x v="350"/>
    <x v="70"/>
    <x v="8"/>
    <x v="8"/>
    <x v="1"/>
  </r>
  <r>
    <x v="351"/>
    <x v="70"/>
    <x v="8"/>
    <x v="8"/>
    <x v="1"/>
  </r>
  <r>
    <x v="352"/>
    <x v="71"/>
    <x v="8"/>
    <x v="8"/>
    <x v="1"/>
  </r>
  <r>
    <x v="353"/>
    <x v="71"/>
    <x v="1"/>
    <x v="1"/>
    <x v="1"/>
  </r>
  <r>
    <x v="354"/>
    <x v="71"/>
    <x v="5"/>
    <x v="5"/>
    <x v="1"/>
  </r>
  <r>
    <x v="355"/>
    <x v="71"/>
    <x v="9"/>
    <x v="9"/>
    <x v="1"/>
  </r>
  <r>
    <x v="356"/>
    <x v="71"/>
    <x v="1"/>
    <x v="1"/>
    <x v="1"/>
  </r>
  <r>
    <x v="357"/>
    <x v="71"/>
    <x v="1"/>
    <x v="1"/>
    <x v="1"/>
  </r>
  <r>
    <x v="358"/>
    <x v="72"/>
    <x v="5"/>
    <x v="5"/>
    <x v="1"/>
  </r>
  <r>
    <x v="359"/>
    <x v="72"/>
    <x v="8"/>
    <x v="8"/>
    <x v="1"/>
  </r>
  <r>
    <x v="360"/>
    <x v="72"/>
    <x v="4"/>
    <x v="4"/>
    <x v="0"/>
  </r>
  <r>
    <x v="361"/>
    <x v="73"/>
    <x v="9"/>
    <x v="9"/>
    <x v="1"/>
  </r>
  <r>
    <x v="362"/>
    <x v="73"/>
    <x v="1"/>
    <x v="1"/>
    <x v="1"/>
  </r>
  <r>
    <x v="363"/>
    <x v="74"/>
    <x v="1"/>
    <x v="1"/>
    <x v="1"/>
  </r>
  <r>
    <x v="364"/>
    <x v="74"/>
    <x v="4"/>
    <x v="4"/>
    <x v="0"/>
  </r>
  <r>
    <x v="365"/>
    <x v="74"/>
    <x v="5"/>
    <x v="5"/>
    <x v="1"/>
  </r>
  <r>
    <x v="366"/>
    <x v="74"/>
    <x v="1"/>
    <x v="1"/>
    <x v="1"/>
  </r>
  <r>
    <x v="367"/>
    <x v="74"/>
    <x v="6"/>
    <x v="6"/>
    <x v="0"/>
  </r>
  <r>
    <x v="368"/>
    <x v="74"/>
    <x v="6"/>
    <x v="6"/>
    <x v="0"/>
  </r>
  <r>
    <x v="369"/>
    <x v="75"/>
    <x v="5"/>
    <x v="5"/>
    <x v="1"/>
  </r>
  <r>
    <x v="370"/>
    <x v="75"/>
    <x v="2"/>
    <x v="2"/>
    <x v="1"/>
  </r>
  <r>
    <x v="371"/>
    <x v="75"/>
    <x v="6"/>
    <x v="6"/>
    <x v="0"/>
  </r>
  <r>
    <x v="372"/>
    <x v="75"/>
    <x v="2"/>
    <x v="2"/>
    <x v="1"/>
  </r>
  <r>
    <x v="373"/>
    <x v="75"/>
    <x v="9"/>
    <x v="9"/>
    <x v="1"/>
  </r>
  <r>
    <x v="374"/>
    <x v="75"/>
    <x v="9"/>
    <x v="9"/>
    <x v="1"/>
  </r>
  <r>
    <x v="375"/>
    <x v="76"/>
    <x v="4"/>
    <x v="4"/>
    <x v="0"/>
  </r>
  <r>
    <x v="376"/>
    <x v="76"/>
    <x v="9"/>
    <x v="9"/>
    <x v="1"/>
  </r>
  <r>
    <x v="377"/>
    <x v="76"/>
    <x v="7"/>
    <x v="7"/>
    <x v="0"/>
  </r>
  <r>
    <x v="378"/>
    <x v="76"/>
    <x v="3"/>
    <x v="3"/>
    <x v="0"/>
  </r>
  <r>
    <x v="379"/>
    <x v="76"/>
    <x v="8"/>
    <x v="8"/>
    <x v="1"/>
  </r>
  <r>
    <x v="380"/>
    <x v="76"/>
    <x v="1"/>
    <x v="1"/>
    <x v="1"/>
  </r>
  <r>
    <x v="381"/>
    <x v="76"/>
    <x v="0"/>
    <x v="0"/>
    <x v="0"/>
  </r>
  <r>
    <x v="382"/>
    <x v="76"/>
    <x v="5"/>
    <x v="5"/>
    <x v="1"/>
  </r>
  <r>
    <x v="383"/>
    <x v="76"/>
    <x v="3"/>
    <x v="3"/>
    <x v="0"/>
  </r>
  <r>
    <x v="384"/>
    <x v="77"/>
    <x v="0"/>
    <x v="0"/>
    <x v="0"/>
  </r>
  <r>
    <x v="385"/>
    <x v="77"/>
    <x v="6"/>
    <x v="6"/>
    <x v="0"/>
  </r>
  <r>
    <x v="386"/>
    <x v="77"/>
    <x v="1"/>
    <x v="1"/>
    <x v="1"/>
  </r>
  <r>
    <x v="387"/>
    <x v="77"/>
    <x v="7"/>
    <x v="7"/>
    <x v="0"/>
  </r>
  <r>
    <x v="388"/>
    <x v="77"/>
    <x v="3"/>
    <x v="3"/>
    <x v="0"/>
  </r>
  <r>
    <x v="389"/>
    <x v="77"/>
    <x v="6"/>
    <x v="6"/>
    <x v="0"/>
  </r>
  <r>
    <x v="390"/>
    <x v="77"/>
    <x v="4"/>
    <x v="4"/>
    <x v="0"/>
  </r>
  <r>
    <x v="391"/>
    <x v="78"/>
    <x v="6"/>
    <x v="6"/>
    <x v="0"/>
  </r>
  <r>
    <x v="392"/>
    <x v="78"/>
    <x v="0"/>
    <x v="0"/>
    <x v="0"/>
  </r>
  <r>
    <x v="393"/>
    <x v="78"/>
    <x v="0"/>
    <x v="0"/>
    <x v="0"/>
  </r>
  <r>
    <x v="394"/>
    <x v="78"/>
    <x v="9"/>
    <x v="9"/>
    <x v="1"/>
  </r>
  <r>
    <x v="395"/>
    <x v="78"/>
    <x v="2"/>
    <x v="2"/>
    <x v="1"/>
  </r>
  <r>
    <x v="396"/>
    <x v="79"/>
    <x v="6"/>
    <x v="6"/>
    <x v="0"/>
  </r>
  <r>
    <x v="397"/>
    <x v="79"/>
    <x v="1"/>
    <x v="1"/>
    <x v="1"/>
  </r>
  <r>
    <x v="398"/>
    <x v="79"/>
    <x v="0"/>
    <x v="0"/>
    <x v="0"/>
  </r>
  <r>
    <x v="399"/>
    <x v="79"/>
    <x v="4"/>
    <x v="4"/>
    <x v="0"/>
  </r>
  <r>
    <x v="400"/>
    <x v="79"/>
    <x v="3"/>
    <x v="3"/>
    <x v="0"/>
  </r>
  <r>
    <x v="401"/>
    <x v="80"/>
    <x v="9"/>
    <x v="9"/>
    <x v="1"/>
  </r>
  <r>
    <x v="402"/>
    <x v="80"/>
    <x v="2"/>
    <x v="2"/>
    <x v="1"/>
  </r>
  <r>
    <x v="403"/>
    <x v="80"/>
    <x v="4"/>
    <x v="4"/>
    <x v="0"/>
  </r>
  <r>
    <x v="404"/>
    <x v="80"/>
    <x v="8"/>
    <x v="8"/>
    <x v="1"/>
  </r>
  <r>
    <x v="405"/>
    <x v="80"/>
    <x v="2"/>
    <x v="2"/>
    <x v="1"/>
  </r>
  <r>
    <x v="406"/>
    <x v="80"/>
    <x v="8"/>
    <x v="8"/>
    <x v="1"/>
  </r>
  <r>
    <x v="407"/>
    <x v="81"/>
    <x v="5"/>
    <x v="5"/>
    <x v="1"/>
  </r>
  <r>
    <x v="408"/>
    <x v="81"/>
    <x v="0"/>
    <x v="0"/>
    <x v="0"/>
  </r>
  <r>
    <x v="409"/>
    <x v="82"/>
    <x v="0"/>
    <x v="0"/>
    <x v="0"/>
  </r>
  <r>
    <x v="410"/>
    <x v="82"/>
    <x v="4"/>
    <x v="4"/>
    <x v="0"/>
  </r>
  <r>
    <x v="411"/>
    <x v="82"/>
    <x v="9"/>
    <x v="9"/>
    <x v="1"/>
  </r>
  <r>
    <x v="412"/>
    <x v="82"/>
    <x v="1"/>
    <x v="1"/>
    <x v="1"/>
  </r>
  <r>
    <x v="413"/>
    <x v="82"/>
    <x v="6"/>
    <x v="6"/>
    <x v="0"/>
  </r>
  <r>
    <x v="414"/>
    <x v="82"/>
    <x v="1"/>
    <x v="1"/>
    <x v="1"/>
  </r>
  <r>
    <x v="415"/>
    <x v="82"/>
    <x v="0"/>
    <x v="0"/>
    <x v="0"/>
  </r>
  <r>
    <x v="416"/>
    <x v="83"/>
    <x v="3"/>
    <x v="3"/>
    <x v="0"/>
  </r>
  <r>
    <x v="417"/>
    <x v="83"/>
    <x v="1"/>
    <x v="1"/>
    <x v="1"/>
  </r>
  <r>
    <x v="418"/>
    <x v="83"/>
    <x v="7"/>
    <x v="7"/>
    <x v="0"/>
  </r>
  <r>
    <x v="419"/>
    <x v="83"/>
    <x v="7"/>
    <x v="7"/>
    <x v="0"/>
  </r>
  <r>
    <x v="420"/>
    <x v="83"/>
    <x v="1"/>
    <x v="1"/>
    <x v="1"/>
  </r>
  <r>
    <x v="421"/>
    <x v="83"/>
    <x v="0"/>
    <x v="0"/>
    <x v="0"/>
  </r>
  <r>
    <x v="422"/>
    <x v="83"/>
    <x v="7"/>
    <x v="7"/>
    <x v="0"/>
  </r>
  <r>
    <x v="423"/>
    <x v="83"/>
    <x v="7"/>
    <x v="7"/>
    <x v="0"/>
  </r>
  <r>
    <x v="424"/>
    <x v="84"/>
    <x v="9"/>
    <x v="9"/>
    <x v="1"/>
  </r>
  <r>
    <x v="425"/>
    <x v="84"/>
    <x v="9"/>
    <x v="9"/>
    <x v="1"/>
  </r>
  <r>
    <x v="426"/>
    <x v="84"/>
    <x v="2"/>
    <x v="2"/>
    <x v="1"/>
  </r>
  <r>
    <x v="427"/>
    <x v="84"/>
    <x v="7"/>
    <x v="7"/>
    <x v="0"/>
  </r>
  <r>
    <x v="428"/>
    <x v="84"/>
    <x v="4"/>
    <x v="4"/>
    <x v="0"/>
  </r>
  <r>
    <x v="429"/>
    <x v="84"/>
    <x v="5"/>
    <x v="5"/>
    <x v="1"/>
  </r>
  <r>
    <x v="430"/>
    <x v="85"/>
    <x v="3"/>
    <x v="3"/>
    <x v="0"/>
  </r>
  <r>
    <x v="431"/>
    <x v="85"/>
    <x v="6"/>
    <x v="6"/>
    <x v="0"/>
  </r>
  <r>
    <x v="432"/>
    <x v="85"/>
    <x v="4"/>
    <x v="4"/>
    <x v="0"/>
  </r>
  <r>
    <x v="433"/>
    <x v="85"/>
    <x v="2"/>
    <x v="2"/>
    <x v="1"/>
  </r>
  <r>
    <x v="434"/>
    <x v="86"/>
    <x v="5"/>
    <x v="5"/>
    <x v="1"/>
  </r>
  <r>
    <x v="435"/>
    <x v="86"/>
    <x v="6"/>
    <x v="6"/>
    <x v="0"/>
  </r>
  <r>
    <x v="436"/>
    <x v="86"/>
    <x v="6"/>
    <x v="6"/>
    <x v="0"/>
  </r>
  <r>
    <x v="437"/>
    <x v="86"/>
    <x v="6"/>
    <x v="6"/>
    <x v="0"/>
  </r>
  <r>
    <x v="438"/>
    <x v="86"/>
    <x v="7"/>
    <x v="7"/>
    <x v="0"/>
  </r>
  <r>
    <x v="439"/>
    <x v="87"/>
    <x v="7"/>
    <x v="7"/>
    <x v="0"/>
  </r>
  <r>
    <x v="440"/>
    <x v="87"/>
    <x v="9"/>
    <x v="9"/>
    <x v="1"/>
  </r>
  <r>
    <x v="441"/>
    <x v="87"/>
    <x v="6"/>
    <x v="6"/>
    <x v="0"/>
  </r>
  <r>
    <x v="442"/>
    <x v="87"/>
    <x v="2"/>
    <x v="2"/>
    <x v="1"/>
  </r>
  <r>
    <x v="443"/>
    <x v="87"/>
    <x v="5"/>
    <x v="5"/>
    <x v="1"/>
  </r>
  <r>
    <x v="444"/>
    <x v="87"/>
    <x v="2"/>
    <x v="2"/>
    <x v="1"/>
  </r>
  <r>
    <x v="445"/>
    <x v="88"/>
    <x v="9"/>
    <x v="9"/>
    <x v="1"/>
  </r>
  <r>
    <x v="446"/>
    <x v="88"/>
    <x v="5"/>
    <x v="5"/>
    <x v="1"/>
  </r>
  <r>
    <x v="447"/>
    <x v="88"/>
    <x v="1"/>
    <x v="1"/>
    <x v="1"/>
  </r>
  <r>
    <x v="448"/>
    <x v="88"/>
    <x v="6"/>
    <x v="6"/>
    <x v="0"/>
  </r>
  <r>
    <x v="449"/>
    <x v="88"/>
    <x v="4"/>
    <x v="4"/>
    <x v="0"/>
  </r>
  <r>
    <x v="450"/>
    <x v="89"/>
    <x v="1"/>
    <x v="1"/>
    <x v="1"/>
  </r>
  <r>
    <x v="451"/>
    <x v="89"/>
    <x v="6"/>
    <x v="6"/>
    <x v="0"/>
  </r>
  <r>
    <x v="452"/>
    <x v="89"/>
    <x v="7"/>
    <x v="7"/>
    <x v="0"/>
  </r>
  <r>
    <x v="453"/>
    <x v="89"/>
    <x v="2"/>
    <x v="2"/>
    <x v="1"/>
  </r>
  <r>
    <x v="454"/>
    <x v="89"/>
    <x v="6"/>
    <x v="6"/>
    <x v="0"/>
  </r>
  <r>
    <x v="455"/>
    <x v="89"/>
    <x v="6"/>
    <x v="6"/>
    <x v="0"/>
  </r>
  <r>
    <x v="456"/>
    <x v="90"/>
    <x v="4"/>
    <x v="4"/>
    <x v="0"/>
  </r>
  <r>
    <x v="457"/>
    <x v="90"/>
    <x v="5"/>
    <x v="5"/>
    <x v="1"/>
  </r>
  <r>
    <x v="458"/>
    <x v="90"/>
    <x v="8"/>
    <x v="8"/>
    <x v="1"/>
  </r>
  <r>
    <x v="459"/>
    <x v="91"/>
    <x v="2"/>
    <x v="2"/>
    <x v="1"/>
  </r>
  <r>
    <x v="460"/>
    <x v="91"/>
    <x v="9"/>
    <x v="9"/>
    <x v="1"/>
  </r>
  <r>
    <x v="461"/>
    <x v="91"/>
    <x v="7"/>
    <x v="7"/>
    <x v="0"/>
  </r>
  <r>
    <x v="462"/>
    <x v="91"/>
    <x v="0"/>
    <x v="0"/>
    <x v="0"/>
  </r>
  <r>
    <x v="463"/>
    <x v="91"/>
    <x v="6"/>
    <x v="6"/>
    <x v="0"/>
  </r>
  <r>
    <x v="464"/>
    <x v="92"/>
    <x v="8"/>
    <x v="8"/>
    <x v="1"/>
  </r>
  <r>
    <x v="465"/>
    <x v="93"/>
    <x v="9"/>
    <x v="9"/>
    <x v="1"/>
  </r>
  <r>
    <x v="466"/>
    <x v="93"/>
    <x v="9"/>
    <x v="9"/>
    <x v="1"/>
  </r>
  <r>
    <x v="467"/>
    <x v="93"/>
    <x v="0"/>
    <x v="0"/>
    <x v="0"/>
  </r>
  <r>
    <x v="468"/>
    <x v="93"/>
    <x v="7"/>
    <x v="7"/>
    <x v="0"/>
  </r>
  <r>
    <x v="469"/>
    <x v="93"/>
    <x v="0"/>
    <x v="0"/>
    <x v="0"/>
  </r>
  <r>
    <x v="470"/>
    <x v="93"/>
    <x v="9"/>
    <x v="9"/>
    <x v="1"/>
  </r>
  <r>
    <x v="471"/>
    <x v="93"/>
    <x v="1"/>
    <x v="1"/>
    <x v="1"/>
  </r>
  <r>
    <x v="472"/>
    <x v="93"/>
    <x v="6"/>
    <x v="6"/>
    <x v="0"/>
  </r>
  <r>
    <x v="473"/>
    <x v="94"/>
    <x v="6"/>
    <x v="6"/>
    <x v="0"/>
  </r>
  <r>
    <x v="474"/>
    <x v="94"/>
    <x v="3"/>
    <x v="3"/>
    <x v="0"/>
  </r>
  <r>
    <x v="475"/>
    <x v="94"/>
    <x v="5"/>
    <x v="5"/>
    <x v="1"/>
  </r>
  <r>
    <x v="476"/>
    <x v="94"/>
    <x v="5"/>
    <x v="5"/>
    <x v="1"/>
  </r>
  <r>
    <x v="477"/>
    <x v="95"/>
    <x v="4"/>
    <x v="4"/>
    <x v="0"/>
  </r>
  <r>
    <x v="478"/>
    <x v="95"/>
    <x v="5"/>
    <x v="5"/>
    <x v="1"/>
  </r>
  <r>
    <x v="479"/>
    <x v="95"/>
    <x v="2"/>
    <x v="2"/>
    <x v="1"/>
  </r>
  <r>
    <x v="480"/>
    <x v="95"/>
    <x v="9"/>
    <x v="9"/>
    <x v="1"/>
  </r>
  <r>
    <x v="481"/>
    <x v="95"/>
    <x v="7"/>
    <x v="7"/>
    <x v="0"/>
  </r>
  <r>
    <x v="482"/>
    <x v="95"/>
    <x v="5"/>
    <x v="5"/>
    <x v="1"/>
  </r>
  <r>
    <x v="483"/>
    <x v="95"/>
    <x v="2"/>
    <x v="2"/>
    <x v="1"/>
  </r>
  <r>
    <x v="484"/>
    <x v="95"/>
    <x v="3"/>
    <x v="3"/>
    <x v="0"/>
  </r>
  <r>
    <x v="485"/>
    <x v="96"/>
    <x v="9"/>
    <x v="9"/>
    <x v="1"/>
  </r>
  <r>
    <x v="486"/>
    <x v="96"/>
    <x v="0"/>
    <x v="0"/>
    <x v="0"/>
  </r>
  <r>
    <x v="487"/>
    <x v="96"/>
    <x v="2"/>
    <x v="2"/>
    <x v="1"/>
  </r>
  <r>
    <x v="488"/>
    <x v="96"/>
    <x v="6"/>
    <x v="6"/>
    <x v="0"/>
  </r>
  <r>
    <x v="489"/>
    <x v="96"/>
    <x v="6"/>
    <x v="6"/>
    <x v="0"/>
  </r>
  <r>
    <x v="490"/>
    <x v="96"/>
    <x v="4"/>
    <x v="4"/>
    <x v="0"/>
  </r>
  <r>
    <x v="491"/>
    <x v="96"/>
    <x v="2"/>
    <x v="2"/>
    <x v="1"/>
  </r>
  <r>
    <x v="492"/>
    <x v="96"/>
    <x v="4"/>
    <x v="4"/>
    <x v="0"/>
  </r>
  <r>
    <x v="493"/>
    <x v="96"/>
    <x v="2"/>
    <x v="2"/>
    <x v="1"/>
  </r>
  <r>
    <x v="494"/>
    <x v="97"/>
    <x v="1"/>
    <x v="1"/>
    <x v="1"/>
  </r>
  <r>
    <x v="495"/>
    <x v="97"/>
    <x v="2"/>
    <x v="2"/>
    <x v="1"/>
  </r>
  <r>
    <x v="496"/>
    <x v="97"/>
    <x v="9"/>
    <x v="9"/>
    <x v="1"/>
  </r>
  <r>
    <x v="497"/>
    <x v="97"/>
    <x v="0"/>
    <x v="0"/>
    <x v="0"/>
  </r>
  <r>
    <x v="498"/>
    <x v="97"/>
    <x v="8"/>
    <x v="8"/>
    <x v="1"/>
  </r>
  <r>
    <x v="499"/>
    <x v="97"/>
    <x v="9"/>
    <x v="9"/>
    <x v="1"/>
  </r>
</pivotCacheRecords>
</file>

<file path=xl/pivotCache/pivotCacheRecords4.xml><?xml version="1.0" encoding="utf-8"?>
<pivotCacheRecords xmlns="http://schemas.openxmlformats.org/spreadsheetml/2006/main" xmlns:r="http://schemas.openxmlformats.org/officeDocument/2006/relationships" count="500">
  <r>
    <x v="0"/>
    <x v="0"/>
    <x v="0"/>
    <x v="0"/>
    <x v="0"/>
    <x v="0"/>
    <x v="0"/>
    <x v="0"/>
    <x v="0"/>
    <x v="0"/>
  </r>
  <r>
    <x v="1"/>
    <x v="1"/>
    <x v="1"/>
    <x v="1"/>
    <x v="1"/>
    <x v="1"/>
    <x v="0"/>
    <x v="1"/>
    <x v="0"/>
    <x v="0"/>
  </r>
  <r>
    <x v="2"/>
    <x v="2"/>
    <x v="0"/>
    <x v="2"/>
    <x v="2"/>
    <x v="2"/>
    <x v="0"/>
    <x v="0"/>
    <x v="1"/>
    <x v="0"/>
  </r>
  <r>
    <x v="3"/>
    <x v="3"/>
    <x v="2"/>
    <x v="2"/>
    <x v="0"/>
    <x v="3"/>
    <x v="1"/>
    <x v="2"/>
    <x v="2"/>
    <x v="1"/>
  </r>
  <r>
    <x v="4"/>
    <x v="4"/>
    <x v="0"/>
    <x v="1"/>
    <x v="3"/>
    <x v="4"/>
    <x v="0"/>
    <x v="0"/>
    <x v="0"/>
    <x v="0"/>
  </r>
  <r>
    <x v="5"/>
    <x v="5"/>
    <x v="1"/>
    <x v="0"/>
    <x v="3"/>
    <x v="5"/>
    <x v="0"/>
    <x v="1"/>
    <x v="2"/>
    <x v="0"/>
  </r>
  <r>
    <x v="6"/>
    <x v="6"/>
    <x v="3"/>
    <x v="1"/>
    <x v="3"/>
    <x v="6"/>
    <x v="1"/>
    <x v="3"/>
    <x v="2"/>
    <x v="1"/>
  </r>
  <r>
    <x v="7"/>
    <x v="4"/>
    <x v="1"/>
    <x v="0"/>
    <x v="0"/>
    <x v="4"/>
    <x v="0"/>
    <x v="1"/>
    <x v="0"/>
    <x v="0"/>
  </r>
  <r>
    <x v="8"/>
    <x v="7"/>
    <x v="2"/>
    <x v="3"/>
    <x v="1"/>
    <x v="7"/>
    <x v="1"/>
    <x v="2"/>
    <x v="3"/>
    <x v="1"/>
  </r>
  <r>
    <x v="9"/>
    <x v="8"/>
    <x v="4"/>
    <x v="0"/>
    <x v="3"/>
    <x v="2"/>
    <x v="0"/>
    <x v="4"/>
    <x v="1"/>
    <x v="1"/>
  </r>
  <r>
    <x v="10"/>
    <x v="9"/>
    <x v="5"/>
    <x v="4"/>
    <x v="1"/>
    <x v="7"/>
    <x v="0"/>
    <x v="5"/>
    <x v="3"/>
    <x v="0"/>
  </r>
  <r>
    <x v="11"/>
    <x v="10"/>
    <x v="5"/>
    <x v="2"/>
    <x v="3"/>
    <x v="8"/>
    <x v="0"/>
    <x v="5"/>
    <x v="4"/>
    <x v="0"/>
  </r>
  <r>
    <x v="12"/>
    <x v="11"/>
    <x v="4"/>
    <x v="3"/>
    <x v="0"/>
    <x v="2"/>
    <x v="0"/>
    <x v="4"/>
    <x v="2"/>
    <x v="1"/>
  </r>
  <r>
    <x v="13"/>
    <x v="12"/>
    <x v="4"/>
    <x v="3"/>
    <x v="3"/>
    <x v="9"/>
    <x v="1"/>
    <x v="4"/>
    <x v="2"/>
    <x v="1"/>
  </r>
  <r>
    <x v="14"/>
    <x v="13"/>
    <x v="6"/>
    <x v="3"/>
    <x v="3"/>
    <x v="10"/>
    <x v="1"/>
    <x v="6"/>
    <x v="3"/>
    <x v="0"/>
  </r>
  <r>
    <x v="15"/>
    <x v="14"/>
    <x v="2"/>
    <x v="1"/>
    <x v="3"/>
    <x v="11"/>
    <x v="1"/>
    <x v="2"/>
    <x v="1"/>
    <x v="1"/>
  </r>
  <r>
    <x v="16"/>
    <x v="15"/>
    <x v="2"/>
    <x v="4"/>
    <x v="0"/>
    <x v="5"/>
    <x v="0"/>
    <x v="2"/>
    <x v="4"/>
    <x v="1"/>
  </r>
  <r>
    <x v="17"/>
    <x v="16"/>
    <x v="4"/>
    <x v="1"/>
    <x v="0"/>
    <x v="2"/>
    <x v="1"/>
    <x v="4"/>
    <x v="3"/>
    <x v="1"/>
  </r>
  <r>
    <x v="18"/>
    <x v="17"/>
    <x v="5"/>
    <x v="0"/>
    <x v="2"/>
    <x v="12"/>
    <x v="0"/>
    <x v="5"/>
    <x v="2"/>
    <x v="0"/>
  </r>
  <r>
    <x v="19"/>
    <x v="18"/>
    <x v="7"/>
    <x v="0"/>
    <x v="3"/>
    <x v="4"/>
    <x v="1"/>
    <x v="7"/>
    <x v="4"/>
    <x v="1"/>
  </r>
  <r>
    <x v="20"/>
    <x v="19"/>
    <x v="4"/>
    <x v="4"/>
    <x v="3"/>
    <x v="2"/>
    <x v="1"/>
    <x v="4"/>
    <x v="0"/>
    <x v="1"/>
  </r>
  <r>
    <x v="21"/>
    <x v="20"/>
    <x v="8"/>
    <x v="1"/>
    <x v="0"/>
    <x v="10"/>
    <x v="0"/>
    <x v="8"/>
    <x v="0"/>
    <x v="0"/>
  </r>
  <r>
    <x v="22"/>
    <x v="21"/>
    <x v="8"/>
    <x v="2"/>
    <x v="1"/>
    <x v="5"/>
    <x v="0"/>
    <x v="8"/>
    <x v="1"/>
    <x v="0"/>
  </r>
  <r>
    <x v="23"/>
    <x v="22"/>
    <x v="3"/>
    <x v="4"/>
    <x v="3"/>
    <x v="12"/>
    <x v="0"/>
    <x v="3"/>
    <x v="3"/>
    <x v="1"/>
  </r>
  <r>
    <x v="24"/>
    <x v="23"/>
    <x v="0"/>
    <x v="0"/>
    <x v="0"/>
    <x v="8"/>
    <x v="0"/>
    <x v="0"/>
    <x v="4"/>
    <x v="0"/>
  </r>
  <r>
    <x v="25"/>
    <x v="24"/>
    <x v="9"/>
    <x v="3"/>
    <x v="1"/>
    <x v="13"/>
    <x v="0"/>
    <x v="9"/>
    <x v="2"/>
    <x v="1"/>
  </r>
  <r>
    <x v="26"/>
    <x v="25"/>
    <x v="8"/>
    <x v="4"/>
    <x v="1"/>
    <x v="3"/>
    <x v="0"/>
    <x v="8"/>
    <x v="2"/>
    <x v="0"/>
  </r>
  <r>
    <x v="27"/>
    <x v="26"/>
    <x v="4"/>
    <x v="4"/>
    <x v="0"/>
    <x v="6"/>
    <x v="1"/>
    <x v="4"/>
    <x v="0"/>
    <x v="1"/>
  </r>
  <r>
    <x v="28"/>
    <x v="27"/>
    <x v="4"/>
    <x v="1"/>
    <x v="2"/>
    <x v="4"/>
    <x v="0"/>
    <x v="4"/>
    <x v="0"/>
    <x v="1"/>
  </r>
  <r>
    <x v="29"/>
    <x v="25"/>
    <x v="9"/>
    <x v="3"/>
    <x v="1"/>
    <x v="3"/>
    <x v="0"/>
    <x v="9"/>
    <x v="2"/>
    <x v="1"/>
  </r>
  <r>
    <x v="30"/>
    <x v="28"/>
    <x v="4"/>
    <x v="2"/>
    <x v="0"/>
    <x v="4"/>
    <x v="0"/>
    <x v="4"/>
    <x v="1"/>
    <x v="1"/>
  </r>
  <r>
    <x v="31"/>
    <x v="1"/>
    <x v="3"/>
    <x v="1"/>
    <x v="1"/>
    <x v="1"/>
    <x v="0"/>
    <x v="3"/>
    <x v="0"/>
    <x v="1"/>
  </r>
  <r>
    <x v="32"/>
    <x v="29"/>
    <x v="0"/>
    <x v="3"/>
    <x v="2"/>
    <x v="8"/>
    <x v="0"/>
    <x v="0"/>
    <x v="4"/>
    <x v="0"/>
  </r>
  <r>
    <x v="33"/>
    <x v="30"/>
    <x v="8"/>
    <x v="4"/>
    <x v="3"/>
    <x v="1"/>
    <x v="0"/>
    <x v="8"/>
    <x v="4"/>
    <x v="0"/>
  </r>
  <r>
    <x v="34"/>
    <x v="31"/>
    <x v="8"/>
    <x v="4"/>
    <x v="2"/>
    <x v="9"/>
    <x v="0"/>
    <x v="8"/>
    <x v="2"/>
    <x v="0"/>
  </r>
  <r>
    <x v="35"/>
    <x v="18"/>
    <x v="8"/>
    <x v="2"/>
    <x v="2"/>
    <x v="4"/>
    <x v="1"/>
    <x v="8"/>
    <x v="4"/>
    <x v="0"/>
  </r>
  <r>
    <x v="36"/>
    <x v="32"/>
    <x v="2"/>
    <x v="2"/>
    <x v="3"/>
    <x v="9"/>
    <x v="0"/>
    <x v="2"/>
    <x v="1"/>
    <x v="1"/>
  </r>
  <r>
    <x v="37"/>
    <x v="33"/>
    <x v="3"/>
    <x v="1"/>
    <x v="0"/>
    <x v="3"/>
    <x v="0"/>
    <x v="3"/>
    <x v="1"/>
    <x v="1"/>
  </r>
  <r>
    <x v="38"/>
    <x v="5"/>
    <x v="8"/>
    <x v="3"/>
    <x v="3"/>
    <x v="5"/>
    <x v="0"/>
    <x v="8"/>
    <x v="2"/>
    <x v="0"/>
  </r>
  <r>
    <x v="39"/>
    <x v="34"/>
    <x v="2"/>
    <x v="0"/>
    <x v="3"/>
    <x v="2"/>
    <x v="1"/>
    <x v="2"/>
    <x v="2"/>
    <x v="1"/>
  </r>
  <r>
    <x v="40"/>
    <x v="35"/>
    <x v="1"/>
    <x v="2"/>
    <x v="0"/>
    <x v="12"/>
    <x v="0"/>
    <x v="1"/>
    <x v="4"/>
    <x v="0"/>
  </r>
  <r>
    <x v="41"/>
    <x v="36"/>
    <x v="4"/>
    <x v="2"/>
    <x v="0"/>
    <x v="14"/>
    <x v="1"/>
    <x v="4"/>
    <x v="1"/>
    <x v="1"/>
  </r>
  <r>
    <x v="42"/>
    <x v="37"/>
    <x v="4"/>
    <x v="1"/>
    <x v="3"/>
    <x v="14"/>
    <x v="1"/>
    <x v="4"/>
    <x v="4"/>
    <x v="1"/>
  </r>
  <r>
    <x v="43"/>
    <x v="35"/>
    <x v="8"/>
    <x v="1"/>
    <x v="1"/>
    <x v="12"/>
    <x v="0"/>
    <x v="8"/>
    <x v="4"/>
    <x v="0"/>
  </r>
  <r>
    <x v="44"/>
    <x v="19"/>
    <x v="4"/>
    <x v="1"/>
    <x v="1"/>
    <x v="2"/>
    <x v="1"/>
    <x v="4"/>
    <x v="0"/>
    <x v="1"/>
  </r>
  <r>
    <x v="45"/>
    <x v="38"/>
    <x v="5"/>
    <x v="1"/>
    <x v="2"/>
    <x v="5"/>
    <x v="1"/>
    <x v="5"/>
    <x v="0"/>
    <x v="0"/>
  </r>
  <r>
    <x v="46"/>
    <x v="39"/>
    <x v="6"/>
    <x v="0"/>
    <x v="2"/>
    <x v="9"/>
    <x v="0"/>
    <x v="6"/>
    <x v="3"/>
    <x v="0"/>
  </r>
  <r>
    <x v="47"/>
    <x v="40"/>
    <x v="3"/>
    <x v="4"/>
    <x v="0"/>
    <x v="10"/>
    <x v="0"/>
    <x v="3"/>
    <x v="0"/>
    <x v="1"/>
  </r>
  <r>
    <x v="48"/>
    <x v="41"/>
    <x v="0"/>
    <x v="0"/>
    <x v="2"/>
    <x v="7"/>
    <x v="0"/>
    <x v="0"/>
    <x v="4"/>
    <x v="0"/>
  </r>
  <r>
    <x v="49"/>
    <x v="41"/>
    <x v="7"/>
    <x v="1"/>
    <x v="3"/>
    <x v="7"/>
    <x v="0"/>
    <x v="7"/>
    <x v="4"/>
    <x v="1"/>
  </r>
  <r>
    <x v="50"/>
    <x v="0"/>
    <x v="4"/>
    <x v="2"/>
    <x v="2"/>
    <x v="0"/>
    <x v="0"/>
    <x v="4"/>
    <x v="0"/>
    <x v="1"/>
  </r>
  <r>
    <x v="51"/>
    <x v="42"/>
    <x v="5"/>
    <x v="4"/>
    <x v="1"/>
    <x v="11"/>
    <x v="1"/>
    <x v="5"/>
    <x v="3"/>
    <x v="0"/>
  </r>
  <r>
    <x v="52"/>
    <x v="43"/>
    <x v="5"/>
    <x v="4"/>
    <x v="1"/>
    <x v="7"/>
    <x v="0"/>
    <x v="5"/>
    <x v="4"/>
    <x v="0"/>
  </r>
  <r>
    <x v="53"/>
    <x v="44"/>
    <x v="4"/>
    <x v="2"/>
    <x v="2"/>
    <x v="12"/>
    <x v="1"/>
    <x v="4"/>
    <x v="1"/>
    <x v="1"/>
  </r>
  <r>
    <x v="54"/>
    <x v="45"/>
    <x v="7"/>
    <x v="0"/>
    <x v="2"/>
    <x v="5"/>
    <x v="1"/>
    <x v="7"/>
    <x v="1"/>
    <x v="1"/>
  </r>
  <r>
    <x v="55"/>
    <x v="46"/>
    <x v="0"/>
    <x v="1"/>
    <x v="3"/>
    <x v="6"/>
    <x v="1"/>
    <x v="0"/>
    <x v="2"/>
    <x v="0"/>
  </r>
  <r>
    <x v="56"/>
    <x v="47"/>
    <x v="4"/>
    <x v="0"/>
    <x v="2"/>
    <x v="8"/>
    <x v="0"/>
    <x v="4"/>
    <x v="2"/>
    <x v="1"/>
  </r>
  <r>
    <x v="57"/>
    <x v="48"/>
    <x v="1"/>
    <x v="1"/>
    <x v="1"/>
    <x v="14"/>
    <x v="1"/>
    <x v="1"/>
    <x v="4"/>
    <x v="0"/>
  </r>
  <r>
    <x v="58"/>
    <x v="49"/>
    <x v="3"/>
    <x v="3"/>
    <x v="3"/>
    <x v="5"/>
    <x v="1"/>
    <x v="3"/>
    <x v="0"/>
    <x v="1"/>
  </r>
  <r>
    <x v="59"/>
    <x v="50"/>
    <x v="1"/>
    <x v="3"/>
    <x v="1"/>
    <x v="3"/>
    <x v="0"/>
    <x v="1"/>
    <x v="0"/>
    <x v="0"/>
  </r>
  <r>
    <x v="60"/>
    <x v="25"/>
    <x v="0"/>
    <x v="3"/>
    <x v="0"/>
    <x v="3"/>
    <x v="0"/>
    <x v="0"/>
    <x v="2"/>
    <x v="0"/>
  </r>
  <r>
    <x v="61"/>
    <x v="34"/>
    <x v="9"/>
    <x v="1"/>
    <x v="1"/>
    <x v="2"/>
    <x v="1"/>
    <x v="9"/>
    <x v="2"/>
    <x v="1"/>
  </r>
  <r>
    <x v="62"/>
    <x v="51"/>
    <x v="0"/>
    <x v="1"/>
    <x v="3"/>
    <x v="12"/>
    <x v="0"/>
    <x v="0"/>
    <x v="1"/>
    <x v="0"/>
  </r>
  <r>
    <x v="63"/>
    <x v="33"/>
    <x v="6"/>
    <x v="2"/>
    <x v="1"/>
    <x v="3"/>
    <x v="0"/>
    <x v="6"/>
    <x v="1"/>
    <x v="0"/>
  </r>
  <r>
    <x v="64"/>
    <x v="28"/>
    <x v="9"/>
    <x v="0"/>
    <x v="1"/>
    <x v="4"/>
    <x v="0"/>
    <x v="9"/>
    <x v="1"/>
    <x v="1"/>
  </r>
  <r>
    <x v="65"/>
    <x v="7"/>
    <x v="7"/>
    <x v="0"/>
    <x v="2"/>
    <x v="7"/>
    <x v="1"/>
    <x v="7"/>
    <x v="3"/>
    <x v="1"/>
  </r>
  <r>
    <x v="66"/>
    <x v="43"/>
    <x v="0"/>
    <x v="3"/>
    <x v="0"/>
    <x v="7"/>
    <x v="0"/>
    <x v="0"/>
    <x v="4"/>
    <x v="0"/>
  </r>
  <r>
    <x v="67"/>
    <x v="52"/>
    <x v="2"/>
    <x v="4"/>
    <x v="1"/>
    <x v="10"/>
    <x v="0"/>
    <x v="2"/>
    <x v="0"/>
    <x v="1"/>
  </r>
  <r>
    <x v="68"/>
    <x v="51"/>
    <x v="7"/>
    <x v="0"/>
    <x v="2"/>
    <x v="12"/>
    <x v="0"/>
    <x v="7"/>
    <x v="1"/>
    <x v="1"/>
  </r>
  <r>
    <x v="69"/>
    <x v="53"/>
    <x v="6"/>
    <x v="3"/>
    <x v="3"/>
    <x v="7"/>
    <x v="0"/>
    <x v="6"/>
    <x v="3"/>
    <x v="0"/>
  </r>
  <r>
    <x v="70"/>
    <x v="54"/>
    <x v="4"/>
    <x v="1"/>
    <x v="1"/>
    <x v="10"/>
    <x v="0"/>
    <x v="4"/>
    <x v="4"/>
    <x v="1"/>
  </r>
  <r>
    <x v="71"/>
    <x v="9"/>
    <x v="6"/>
    <x v="1"/>
    <x v="0"/>
    <x v="7"/>
    <x v="0"/>
    <x v="6"/>
    <x v="3"/>
    <x v="0"/>
  </r>
  <r>
    <x v="72"/>
    <x v="9"/>
    <x v="9"/>
    <x v="4"/>
    <x v="3"/>
    <x v="7"/>
    <x v="0"/>
    <x v="9"/>
    <x v="3"/>
    <x v="1"/>
  </r>
  <r>
    <x v="73"/>
    <x v="17"/>
    <x v="3"/>
    <x v="1"/>
    <x v="2"/>
    <x v="12"/>
    <x v="0"/>
    <x v="3"/>
    <x v="2"/>
    <x v="1"/>
  </r>
  <r>
    <x v="74"/>
    <x v="9"/>
    <x v="5"/>
    <x v="0"/>
    <x v="3"/>
    <x v="7"/>
    <x v="0"/>
    <x v="5"/>
    <x v="3"/>
    <x v="0"/>
  </r>
  <r>
    <x v="75"/>
    <x v="25"/>
    <x v="1"/>
    <x v="0"/>
    <x v="2"/>
    <x v="3"/>
    <x v="0"/>
    <x v="1"/>
    <x v="2"/>
    <x v="0"/>
  </r>
  <r>
    <x v="76"/>
    <x v="25"/>
    <x v="8"/>
    <x v="4"/>
    <x v="2"/>
    <x v="3"/>
    <x v="0"/>
    <x v="8"/>
    <x v="2"/>
    <x v="0"/>
  </r>
  <r>
    <x v="77"/>
    <x v="47"/>
    <x v="7"/>
    <x v="1"/>
    <x v="3"/>
    <x v="8"/>
    <x v="0"/>
    <x v="7"/>
    <x v="2"/>
    <x v="1"/>
  </r>
  <r>
    <x v="78"/>
    <x v="45"/>
    <x v="8"/>
    <x v="2"/>
    <x v="3"/>
    <x v="5"/>
    <x v="1"/>
    <x v="8"/>
    <x v="1"/>
    <x v="0"/>
  </r>
  <r>
    <x v="79"/>
    <x v="55"/>
    <x v="6"/>
    <x v="0"/>
    <x v="3"/>
    <x v="0"/>
    <x v="1"/>
    <x v="6"/>
    <x v="1"/>
    <x v="0"/>
  </r>
  <r>
    <x v="80"/>
    <x v="29"/>
    <x v="7"/>
    <x v="4"/>
    <x v="0"/>
    <x v="8"/>
    <x v="0"/>
    <x v="7"/>
    <x v="4"/>
    <x v="1"/>
  </r>
  <r>
    <x v="81"/>
    <x v="44"/>
    <x v="0"/>
    <x v="1"/>
    <x v="2"/>
    <x v="12"/>
    <x v="1"/>
    <x v="0"/>
    <x v="1"/>
    <x v="0"/>
  </r>
  <r>
    <x v="82"/>
    <x v="29"/>
    <x v="0"/>
    <x v="1"/>
    <x v="2"/>
    <x v="8"/>
    <x v="0"/>
    <x v="0"/>
    <x v="4"/>
    <x v="0"/>
  </r>
  <r>
    <x v="83"/>
    <x v="32"/>
    <x v="7"/>
    <x v="3"/>
    <x v="3"/>
    <x v="9"/>
    <x v="0"/>
    <x v="7"/>
    <x v="1"/>
    <x v="1"/>
  </r>
  <r>
    <x v="84"/>
    <x v="50"/>
    <x v="4"/>
    <x v="2"/>
    <x v="3"/>
    <x v="3"/>
    <x v="0"/>
    <x v="4"/>
    <x v="0"/>
    <x v="1"/>
  </r>
  <r>
    <x v="85"/>
    <x v="53"/>
    <x v="5"/>
    <x v="0"/>
    <x v="2"/>
    <x v="7"/>
    <x v="0"/>
    <x v="5"/>
    <x v="3"/>
    <x v="0"/>
  </r>
  <r>
    <x v="86"/>
    <x v="18"/>
    <x v="3"/>
    <x v="0"/>
    <x v="2"/>
    <x v="4"/>
    <x v="1"/>
    <x v="3"/>
    <x v="4"/>
    <x v="1"/>
  </r>
  <r>
    <x v="87"/>
    <x v="49"/>
    <x v="3"/>
    <x v="0"/>
    <x v="3"/>
    <x v="5"/>
    <x v="1"/>
    <x v="3"/>
    <x v="0"/>
    <x v="1"/>
  </r>
  <r>
    <x v="88"/>
    <x v="1"/>
    <x v="8"/>
    <x v="0"/>
    <x v="3"/>
    <x v="1"/>
    <x v="0"/>
    <x v="8"/>
    <x v="0"/>
    <x v="0"/>
  </r>
  <r>
    <x v="89"/>
    <x v="48"/>
    <x v="0"/>
    <x v="3"/>
    <x v="0"/>
    <x v="14"/>
    <x v="1"/>
    <x v="0"/>
    <x v="4"/>
    <x v="0"/>
  </r>
  <r>
    <x v="90"/>
    <x v="56"/>
    <x v="1"/>
    <x v="4"/>
    <x v="0"/>
    <x v="4"/>
    <x v="0"/>
    <x v="1"/>
    <x v="4"/>
    <x v="0"/>
  </r>
  <r>
    <x v="91"/>
    <x v="16"/>
    <x v="0"/>
    <x v="1"/>
    <x v="3"/>
    <x v="2"/>
    <x v="1"/>
    <x v="0"/>
    <x v="3"/>
    <x v="0"/>
  </r>
  <r>
    <x v="92"/>
    <x v="57"/>
    <x v="5"/>
    <x v="4"/>
    <x v="3"/>
    <x v="8"/>
    <x v="0"/>
    <x v="5"/>
    <x v="2"/>
    <x v="0"/>
  </r>
  <r>
    <x v="93"/>
    <x v="58"/>
    <x v="0"/>
    <x v="0"/>
    <x v="0"/>
    <x v="8"/>
    <x v="1"/>
    <x v="0"/>
    <x v="2"/>
    <x v="0"/>
  </r>
  <r>
    <x v="94"/>
    <x v="12"/>
    <x v="9"/>
    <x v="0"/>
    <x v="1"/>
    <x v="9"/>
    <x v="1"/>
    <x v="9"/>
    <x v="2"/>
    <x v="1"/>
  </r>
  <r>
    <x v="95"/>
    <x v="59"/>
    <x v="3"/>
    <x v="2"/>
    <x v="3"/>
    <x v="6"/>
    <x v="1"/>
    <x v="3"/>
    <x v="2"/>
    <x v="1"/>
  </r>
  <r>
    <x v="96"/>
    <x v="11"/>
    <x v="7"/>
    <x v="4"/>
    <x v="3"/>
    <x v="2"/>
    <x v="0"/>
    <x v="7"/>
    <x v="2"/>
    <x v="1"/>
  </r>
  <r>
    <x v="97"/>
    <x v="1"/>
    <x v="9"/>
    <x v="1"/>
    <x v="1"/>
    <x v="1"/>
    <x v="0"/>
    <x v="9"/>
    <x v="0"/>
    <x v="1"/>
  </r>
  <r>
    <x v="98"/>
    <x v="54"/>
    <x v="5"/>
    <x v="0"/>
    <x v="2"/>
    <x v="10"/>
    <x v="0"/>
    <x v="5"/>
    <x v="4"/>
    <x v="0"/>
  </r>
  <r>
    <x v="99"/>
    <x v="60"/>
    <x v="8"/>
    <x v="0"/>
    <x v="0"/>
    <x v="10"/>
    <x v="0"/>
    <x v="8"/>
    <x v="2"/>
    <x v="0"/>
  </r>
  <r>
    <x v="100"/>
    <x v="61"/>
    <x v="2"/>
    <x v="1"/>
    <x v="1"/>
    <x v="0"/>
    <x v="0"/>
    <x v="2"/>
    <x v="1"/>
    <x v="1"/>
  </r>
  <r>
    <x v="101"/>
    <x v="37"/>
    <x v="4"/>
    <x v="1"/>
    <x v="1"/>
    <x v="14"/>
    <x v="1"/>
    <x v="4"/>
    <x v="4"/>
    <x v="1"/>
  </r>
  <r>
    <x v="102"/>
    <x v="62"/>
    <x v="7"/>
    <x v="2"/>
    <x v="0"/>
    <x v="7"/>
    <x v="0"/>
    <x v="7"/>
    <x v="2"/>
    <x v="1"/>
  </r>
  <r>
    <x v="103"/>
    <x v="51"/>
    <x v="2"/>
    <x v="3"/>
    <x v="0"/>
    <x v="12"/>
    <x v="0"/>
    <x v="2"/>
    <x v="1"/>
    <x v="1"/>
  </r>
  <r>
    <x v="104"/>
    <x v="63"/>
    <x v="3"/>
    <x v="1"/>
    <x v="0"/>
    <x v="3"/>
    <x v="0"/>
    <x v="3"/>
    <x v="3"/>
    <x v="1"/>
  </r>
  <r>
    <x v="105"/>
    <x v="28"/>
    <x v="3"/>
    <x v="1"/>
    <x v="2"/>
    <x v="4"/>
    <x v="0"/>
    <x v="3"/>
    <x v="1"/>
    <x v="1"/>
  </r>
  <r>
    <x v="106"/>
    <x v="64"/>
    <x v="2"/>
    <x v="4"/>
    <x v="2"/>
    <x v="2"/>
    <x v="1"/>
    <x v="2"/>
    <x v="4"/>
    <x v="1"/>
  </r>
  <r>
    <x v="107"/>
    <x v="65"/>
    <x v="5"/>
    <x v="4"/>
    <x v="1"/>
    <x v="5"/>
    <x v="1"/>
    <x v="5"/>
    <x v="0"/>
    <x v="0"/>
  </r>
  <r>
    <x v="108"/>
    <x v="17"/>
    <x v="1"/>
    <x v="2"/>
    <x v="0"/>
    <x v="12"/>
    <x v="0"/>
    <x v="1"/>
    <x v="2"/>
    <x v="0"/>
  </r>
  <r>
    <x v="109"/>
    <x v="55"/>
    <x v="1"/>
    <x v="2"/>
    <x v="0"/>
    <x v="0"/>
    <x v="1"/>
    <x v="1"/>
    <x v="1"/>
    <x v="0"/>
  </r>
  <r>
    <x v="110"/>
    <x v="66"/>
    <x v="3"/>
    <x v="3"/>
    <x v="0"/>
    <x v="0"/>
    <x v="0"/>
    <x v="3"/>
    <x v="2"/>
    <x v="1"/>
  </r>
  <r>
    <x v="111"/>
    <x v="39"/>
    <x v="4"/>
    <x v="1"/>
    <x v="2"/>
    <x v="9"/>
    <x v="0"/>
    <x v="4"/>
    <x v="3"/>
    <x v="1"/>
  </r>
  <r>
    <x v="112"/>
    <x v="67"/>
    <x v="7"/>
    <x v="2"/>
    <x v="3"/>
    <x v="14"/>
    <x v="0"/>
    <x v="7"/>
    <x v="2"/>
    <x v="1"/>
  </r>
  <r>
    <x v="113"/>
    <x v="59"/>
    <x v="2"/>
    <x v="1"/>
    <x v="1"/>
    <x v="6"/>
    <x v="1"/>
    <x v="2"/>
    <x v="2"/>
    <x v="1"/>
  </r>
  <r>
    <x v="114"/>
    <x v="68"/>
    <x v="0"/>
    <x v="0"/>
    <x v="0"/>
    <x v="5"/>
    <x v="0"/>
    <x v="0"/>
    <x v="1"/>
    <x v="0"/>
  </r>
  <r>
    <x v="115"/>
    <x v="69"/>
    <x v="1"/>
    <x v="4"/>
    <x v="0"/>
    <x v="14"/>
    <x v="1"/>
    <x v="1"/>
    <x v="0"/>
    <x v="0"/>
  </r>
  <r>
    <x v="116"/>
    <x v="6"/>
    <x v="9"/>
    <x v="0"/>
    <x v="0"/>
    <x v="6"/>
    <x v="1"/>
    <x v="9"/>
    <x v="2"/>
    <x v="1"/>
  </r>
  <r>
    <x v="117"/>
    <x v="70"/>
    <x v="7"/>
    <x v="2"/>
    <x v="3"/>
    <x v="2"/>
    <x v="0"/>
    <x v="7"/>
    <x v="3"/>
    <x v="1"/>
  </r>
  <r>
    <x v="118"/>
    <x v="8"/>
    <x v="5"/>
    <x v="0"/>
    <x v="2"/>
    <x v="2"/>
    <x v="0"/>
    <x v="5"/>
    <x v="1"/>
    <x v="0"/>
  </r>
  <r>
    <x v="119"/>
    <x v="63"/>
    <x v="8"/>
    <x v="0"/>
    <x v="2"/>
    <x v="3"/>
    <x v="0"/>
    <x v="8"/>
    <x v="3"/>
    <x v="0"/>
  </r>
  <r>
    <x v="120"/>
    <x v="71"/>
    <x v="3"/>
    <x v="4"/>
    <x v="2"/>
    <x v="4"/>
    <x v="1"/>
    <x v="3"/>
    <x v="2"/>
    <x v="1"/>
  </r>
  <r>
    <x v="121"/>
    <x v="64"/>
    <x v="1"/>
    <x v="4"/>
    <x v="1"/>
    <x v="2"/>
    <x v="1"/>
    <x v="1"/>
    <x v="4"/>
    <x v="0"/>
  </r>
  <r>
    <x v="122"/>
    <x v="9"/>
    <x v="6"/>
    <x v="4"/>
    <x v="3"/>
    <x v="7"/>
    <x v="0"/>
    <x v="6"/>
    <x v="3"/>
    <x v="0"/>
  </r>
  <r>
    <x v="123"/>
    <x v="4"/>
    <x v="1"/>
    <x v="2"/>
    <x v="1"/>
    <x v="4"/>
    <x v="0"/>
    <x v="1"/>
    <x v="0"/>
    <x v="0"/>
  </r>
  <r>
    <x v="124"/>
    <x v="38"/>
    <x v="2"/>
    <x v="4"/>
    <x v="1"/>
    <x v="5"/>
    <x v="1"/>
    <x v="2"/>
    <x v="0"/>
    <x v="1"/>
  </r>
  <r>
    <x v="125"/>
    <x v="38"/>
    <x v="9"/>
    <x v="1"/>
    <x v="2"/>
    <x v="5"/>
    <x v="1"/>
    <x v="9"/>
    <x v="0"/>
    <x v="1"/>
  </r>
  <r>
    <x v="126"/>
    <x v="5"/>
    <x v="9"/>
    <x v="4"/>
    <x v="2"/>
    <x v="5"/>
    <x v="0"/>
    <x v="9"/>
    <x v="2"/>
    <x v="1"/>
  </r>
  <r>
    <x v="127"/>
    <x v="72"/>
    <x v="8"/>
    <x v="3"/>
    <x v="2"/>
    <x v="0"/>
    <x v="0"/>
    <x v="8"/>
    <x v="2"/>
    <x v="0"/>
  </r>
  <r>
    <x v="128"/>
    <x v="3"/>
    <x v="4"/>
    <x v="0"/>
    <x v="3"/>
    <x v="3"/>
    <x v="1"/>
    <x v="4"/>
    <x v="2"/>
    <x v="1"/>
  </r>
  <r>
    <x v="129"/>
    <x v="0"/>
    <x v="1"/>
    <x v="2"/>
    <x v="3"/>
    <x v="0"/>
    <x v="0"/>
    <x v="1"/>
    <x v="0"/>
    <x v="0"/>
  </r>
  <r>
    <x v="130"/>
    <x v="73"/>
    <x v="8"/>
    <x v="0"/>
    <x v="2"/>
    <x v="8"/>
    <x v="0"/>
    <x v="8"/>
    <x v="1"/>
    <x v="0"/>
  </r>
  <r>
    <x v="131"/>
    <x v="38"/>
    <x v="3"/>
    <x v="3"/>
    <x v="2"/>
    <x v="5"/>
    <x v="1"/>
    <x v="3"/>
    <x v="0"/>
    <x v="1"/>
  </r>
  <r>
    <x v="132"/>
    <x v="23"/>
    <x v="6"/>
    <x v="0"/>
    <x v="3"/>
    <x v="8"/>
    <x v="0"/>
    <x v="6"/>
    <x v="4"/>
    <x v="0"/>
  </r>
  <r>
    <x v="133"/>
    <x v="74"/>
    <x v="4"/>
    <x v="4"/>
    <x v="1"/>
    <x v="14"/>
    <x v="1"/>
    <x v="4"/>
    <x v="0"/>
    <x v="1"/>
  </r>
  <r>
    <x v="134"/>
    <x v="53"/>
    <x v="3"/>
    <x v="1"/>
    <x v="2"/>
    <x v="7"/>
    <x v="0"/>
    <x v="3"/>
    <x v="3"/>
    <x v="1"/>
  </r>
  <r>
    <x v="135"/>
    <x v="61"/>
    <x v="0"/>
    <x v="4"/>
    <x v="3"/>
    <x v="0"/>
    <x v="0"/>
    <x v="0"/>
    <x v="1"/>
    <x v="0"/>
  </r>
  <r>
    <x v="136"/>
    <x v="13"/>
    <x v="8"/>
    <x v="1"/>
    <x v="1"/>
    <x v="10"/>
    <x v="1"/>
    <x v="8"/>
    <x v="3"/>
    <x v="0"/>
  </r>
  <r>
    <x v="137"/>
    <x v="19"/>
    <x v="2"/>
    <x v="4"/>
    <x v="0"/>
    <x v="2"/>
    <x v="1"/>
    <x v="2"/>
    <x v="0"/>
    <x v="1"/>
  </r>
  <r>
    <x v="138"/>
    <x v="22"/>
    <x v="8"/>
    <x v="1"/>
    <x v="1"/>
    <x v="12"/>
    <x v="0"/>
    <x v="8"/>
    <x v="3"/>
    <x v="0"/>
  </r>
  <r>
    <x v="139"/>
    <x v="4"/>
    <x v="5"/>
    <x v="2"/>
    <x v="0"/>
    <x v="4"/>
    <x v="0"/>
    <x v="5"/>
    <x v="0"/>
    <x v="0"/>
  </r>
  <r>
    <x v="140"/>
    <x v="65"/>
    <x v="3"/>
    <x v="3"/>
    <x v="2"/>
    <x v="5"/>
    <x v="1"/>
    <x v="3"/>
    <x v="0"/>
    <x v="1"/>
  </r>
  <r>
    <x v="141"/>
    <x v="23"/>
    <x v="0"/>
    <x v="3"/>
    <x v="2"/>
    <x v="8"/>
    <x v="0"/>
    <x v="0"/>
    <x v="4"/>
    <x v="0"/>
  </r>
  <r>
    <x v="142"/>
    <x v="63"/>
    <x v="9"/>
    <x v="1"/>
    <x v="3"/>
    <x v="3"/>
    <x v="0"/>
    <x v="9"/>
    <x v="3"/>
    <x v="1"/>
  </r>
  <r>
    <x v="143"/>
    <x v="21"/>
    <x v="2"/>
    <x v="1"/>
    <x v="2"/>
    <x v="5"/>
    <x v="0"/>
    <x v="2"/>
    <x v="1"/>
    <x v="1"/>
  </r>
  <r>
    <x v="144"/>
    <x v="2"/>
    <x v="0"/>
    <x v="1"/>
    <x v="0"/>
    <x v="2"/>
    <x v="0"/>
    <x v="0"/>
    <x v="1"/>
    <x v="0"/>
  </r>
  <r>
    <x v="145"/>
    <x v="10"/>
    <x v="0"/>
    <x v="4"/>
    <x v="0"/>
    <x v="8"/>
    <x v="0"/>
    <x v="0"/>
    <x v="4"/>
    <x v="0"/>
  </r>
  <r>
    <x v="146"/>
    <x v="37"/>
    <x v="2"/>
    <x v="1"/>
    <x v="3"/>
    <x v="14"/>
    <x v="1"/>
    <x v="2"/>
    <x v="4"/>
    <x v="1"/>
  </r>
  <r>
    <x v="147"/>
    <x v="14"/>
    <x v="2"/>
    <x v="3"/>
    <x v="3"/>
    <x v="11"/>
    <x v="1"/>
    <x v="2"/>
    <x v="1"/>
    <x v="1"/>
  </r>
  <r>
    <x v="148"/>
    <x v="57"/>
    <x v="2"/>
    <x v="4"/>
    <x v="2"/>
    <x v="8"/>
    <x v="0"/>
    <x v="2"/>
    <x v="2"/>
    <x v="1"/>
  </r>
  <r>
    <x v="149"/>
    <x v="75"/>
    <x v="8"/>
    <x v="4"/>
    <x v="2"/>
    <x v="11"/>
    <x v="1"/>
    <x v="8"/>
    <x v="2"/>
    <x v="0"/>
  </r>
  <r>
    <x v="150"/>
    <x v="3"/>
    <x v="6"/>
    <x v="4"/>
    <x v="2"/>
    <x v="3"/>
    <x v="1"/>
    <x v="6"/>
    <x v="2"/>
    <x v="0"/>
  </r>
  <r>
    <x v="151"/>
    <x v="26"/>
    <x v="6"/>
    <x v="2"/>
    <x v="0"/>
    <x v="6"/>
    <x v="1"/>
    <x v="6"/>
    <x v="0"/>
    <x v="0"/>
  </r>
  <r>
    <x v="152"/>
    <x v="62"/>
    <x v="4"/>
    <x v="2"/>
    <x v="2"/>
    <x v="7"/>
    <x v="0"/>
    <x v="4"/>
    <x v="2"/>
    <x v="1"/>
  </r>
  <r>
    <x v="153"/>
    <x v="11"/>
    <x v="6"/>
    <x v="1"/>
    <x v="2"/>
    <x v="2"/>
    <x v="0"/>
    <x v="6"/>
    <x v="2"/>
    <x v="0"/>
  </r>
  <r>
    <x v="154"/>
    <x v="10"/>
    <x v="9"/>
    <x v="1"/>
    <x v="1"/>
    <x v="8"/>
    <x v="0"/>
    <x v="9"/>
    <x v="4"/>
    <x v="1"/>
  </r>
  <r>
    <x v="155"/>
    <x v="42"/>
    <x v="3"/>
    <x v="4"/>
    <x v="3"/>
    <x v="11"/>
    <x v="1"/>
    <x v="3"/>
    <x v="3"/>
    <x v="1"/>
  </r>
  <r>
    <x v="156"/>
    <x v="58"/>
    <x v="8"/>
    <x v="3"/>
    <x v="2"/>
    <x v="8"/>
    <x v="1"/>
    <x v="8"/>
    <x v="2"/>
    <x v="0"/>
  </r>
  <r>
    <x v="157"/>
    <x v="54"/>
    <x v="9"/>
    <x v="1"/>
    <x v="0"/>
    <x v="10"/>
    <x v="0"/>
    <x v="9"/>
    <x v="4"/>
    <x v="1"/>
  </r>
  <r>
    <x v="158"/>
    <x v="70"/>
    <x v="8"/>
    <x v="0"/>
    <x v="3"/>
    <x v="2"/>
    <x v="0"/>
    <x v="8"/>
    <x v="3"/>
    <x v="0"/>
  </r>
  <r>
    <x v="159"/>
    <x v="13"/>
    <x v="4"/>
    <x v="3"/>
    <x v="3"/>
    <x v="10"/>
    <x v="1"/>
    <x v="4"/>
    <x v="3"/>
    <x v="1"/>
  </r>
  <r>
    <x v="160"/>
    <x v="76"/>
    <x v="3"/>
    <x v="1"/>
    <x v="3"/>
    <x v="9"/>
    <x v="1"/>
    <x v="3"/>
    <x v="3"/>
    <x v="1"/>
  </r>
  <r>
    <x v="161"/>
    <x v="77"/>
    <x v="8"/>
    <x v="4"/>
    <x v="1"/>
    <x v="5"/>
    <x v="0"/>
    <x v="8"/>
    <x v="3"/>
    <x v="0"/>
  </r>
  <r>
    <x v="162"/>
    <x v="13"/>
    <x v="1"/>
    <x v="2"/>
    <x v="3"/>
    <x v="10"/>
    <x v="1"/>
    <x v="1"/>
    <x v="3"/>
    <x v="0"/>
  </r>
  <r>
    <x v="163"/>
    <x v="36"/>
    <x v="1"/>
    <x v="1"/>
    <x v="1"/>
    <x v="14"/>
    <x v="1"/>
    <x v="1"/>
    <x v="1"/>
    <x v="0"/>
  </r>
  <r>
    <x v="164"/>
    <x v="38"/>
    <x v="1"/>
    <x v="1"/>
    <x v="0"/>
    <x v="5"/>
    <x v="1"/>
    <x v="1"/>
    <x v="0"/>
    <x v="0"/>
  </r>
  <r>
    <x v="165"/>
    <x v="78"/>
    <x v="2"/>
    <x v="3"/>
    <x v="1"/>
    <x v="3"/>
    <x v="1"/>
    <x v="2"/>
    <x v="4"/>
    <x v="1"/>
  </r>
  <r>
    <x v="166"/>
    <x v="46"/>
    <x v="7"/>
    <x v="0"/>
    <x v="3"/>
    <x v="6"/>
    <x v="1"/>
    <x v="7"/>
    <x v="2"/>
    <x v="1"/>
  </r>
  <r>
    <x v="167"/>
    <x v="79"/>
    <x v="4"/>
    <x v="2"/>
    <x v="0"/>
    <x v="11"/>
    <x v="0"/>
    <x v="4"/>
    <x v="0"/>
    <x v="1"/>
  </r>
  <r>
    <x v="168"/>
    <x v="80"/>
    <x v="4"/>
    <x v="4"/>
    <x v="0"/>
    <x v="0"/>
    <x v="1"/>
    <x v="4"/>
    <x v="0"/>
    <x v="1"/>
  </r>
  <r>
    <x v="169"/>
    <x v="81"/>
    <x v="9"/>
    <x v="3"/>
    <x v="2"/>
    <x v="3"/>
    <x v="0"/>
    <x v="9"/>
    <x v="1"/>
    <x v="1"/>
  </r>
  <r>
    <x v="170"/>
    <x v="13"/>
    <x v="0"/>
    <x v="1"/>
    <x v="0"/>
    <x v="10"/>
    <x v="1"/>
    <x v="0"/>
    <x v="3"/>
    <x v="0"/>
  </r>
  <r>
    <x v="171"/>
    <x v="36"/>
    <x v="8"/>
    <x v="0"/>
    <x v="2"/>
    <x v="14"/>
    <x v="1"/>
    <x v="8"/>
    <x v="1"/>
    <x v="0"/>
  </r>
  <r>
    <x v="172"/>
    <x v="48"/>
    <x v="7"/>
    <x v="1"/>
    <x v="3"/>
    <x v="14"/>
    <x v="1"/>
    <x v="7"/>
    <x v="4"/>
    <x v="1"/>
  </r>
  <r>
    <x v="173"/>
    <x v="76"/>
    <x v="3"/>
    <x v="2"/>
    <x v="1"/>
    <x v="9"/>
    <x v="1"/>
    <x v="3"/>
    <x v="3"/>
    <x v="1"/>
  </r>
  <r>
    <x v="174"/>
    <x v="64"/>
    <x v="6"/>
    <x v="4"/>
    <x v="3"/>
    <x v="2"/>
    <x v="1"/>
    <x v="6"/>
    <x v="4"/>
    <x v="0"/>
  </r>
  <r>
    <x v="175"/>
    <x v="72"/>
    <x v="4"/>
    <x v="0"/>
    <x v="2"/>
    <x v="0"/>
    <x v="0"/>
    <x v="4"/>
    <x v="2"/>
    <x v="1"/>
  </r>
  <r>
    <x v="176"/>
    <x v="82"/>
    <x v="0"/>
    <x v="1"/>
    <x v="2"/>
    <x v="1"/>
    <x v="1"/>
    <x v="0"/>
    <x v="4"/>
    <x v="0"/>
  </r>
  <r>
    <x v="177"/>
    <x v="52"/>
    <x v="0"/>
    <x v="1"/>
    <x v="3"/>
    <x v="10"/>
    <x v="0"/>
    <x v="0"/>
    <x v="0"/>
    <x v="0"/>
  </r>
  <r>
    <x v="178"/>
    <x v="62"/>
    <x v="2"/>
    <x v="0"/>
    <x v="1"/>
    <x v="7"/>
    <x v="0"/>
    <x v="2"/>
    <x v="2"/>
    <x v="1"/>
  </r>
  <r>
    <x v="179"/>
    <x v="53"/>
    <x v="4"/>
    <x v="0"/>
    <x v="1"/>
    <x v="7"/>
    <x v="0"/>
    <x v="4"/>
    <x v="3"/>
    <x v="1"/>
  </r>
  <r>
    <x v="180"/>
    <x v="51"/>
    <x v="7"/>
    <x v="4"/>
    <x v="2"/>
    <x v="12"/>
    <x v="0"/>
    <x v="7"/>
    <x v="1"/>
    <x v="1"/>
  </r>
  <r>
    <x v="181"/>
    <x v="22"/>
    <x v="0"/>
    <x v="4"/>
    <x v="3"/>
    <x v="12"/>
    <x v="0"/>
    <x v="0"/>
    <x v="3"/>
    <x v="0"/>
  </r>
  <r>
    <x v="182"/>
    <x v="50"/>
    <x v="0"/>
    <x v="4"/>
    <x v="3"/>
    <x v="3"/>
    <x v="0"/>
    <x v="0"/>
    <x v="0"/>
    <x v="0"/>
  </r>
  <r>
    <x v="183"/>
    <x v="76"/>
    <x v="9"/>
    <x v="3"/>
    <x v="1"/>
    <x v="9"/>
    <x v="1"/>
    <x v="9"/>
    <x v="3"/>
    <x v="1"/>
  </r>
  <r>
    <x v="184"/>
    <x v="65"/>
    <x v="8"/>
    <x v="3"/>
    <x v="3"/>
    <x v="5"/>
    <x v="1"/>
    <x v="8"/>
    <x v="0"/>
    <x v="0"/>
  </r>
  <r>
    <x v="185"/>
    <x v="83"/>
    <x v="9"/>
    <x v="3"/>
    <x v="3"/>
    <x v="8"/>
    <x v="0"/>
    <x v="9"/>
    <x v="0"/>
    <x v="1"/>
  </r>
  <r>
    <x v="186"/>
    <x v="46"/>
    <x v="4"/>
    <x v="2"/>
    <x v="0"/>
    <x v="6"/>
    <x v="1"/>
    <x v="4"/>
    <x v="2"/>
    <x v="1"/>
  </r>
  <r>
    <x v="187"/>
    <x v="42"/>
    <x v="3"/>
    <x v="0"/>
    <x v="3"/>
    <x v="11"/>
    <x v="1"/>
    <x v="3"/>
    <x v="3"/>
    <x v="1"/>
  </r>
  <r>
    <x v="188"/>
    <x v="81"/>
    <x v="2"/>
    <x v="1"/>
    <x v="3"/>
    <x v="3"/>
    <x v="0"/>
    <x v="2"/>
    <x v="1"/>
    <x v="1"/>
  </r>
  <r>
    <x v="189"/>
    <x v="49"/>
    <x v="6"/>
    <x v="3"/>
    <x v="2"/>
    <x v="5"/>
    <x v="1"/>
    <x v="6"/>
    <x v="0"/>
    <x v="0"/>
  </r>
  <r>
    <x v="190"/>
    <x v="70"/>
    <x v="9"/>
    <x v="2"/>
    <x v="2"/>
    <x v="2"/>
    <x v="0"/>
    <x v="9"/>
    <x v="3"/>
    <x v="1"/>
  </r>
  <r>
    <x v="191"/>
    <x v="29"/>
    <x v="6"/>
    <x v="3"/>
    <x v="2"/>
    <x v="8"/>
    <x v="0"/>
    <x v="6"/>
    <x v="4"/>
    <x v="0"/>
  </r>
  <r>
    <x v="192"/>
    <x v="54"/>
    <x v="2"/>
    <x v="4"/>
    <x v="1"/>
    <x v="10"/>
    <x v="0"/>
    <x v="2"/>
    <x v="4"/>
    <x v="1"/>
  </r>
  <r>
    <x v="193"/>
    <x v="26"/>
    <x v="6"/>
    <x v="0"/>
    <x v="2"/>
    <x v="6"/>
    <x v="1"/>
    <x v="6"/>
    <x v="0"/>
    <x v="0"/>
  </r>
  <r>
    <x v="194"/>
    <x v="72"/>
    <x v="6"/>
    <x v="3"/>
    <x v="0"/>
    <x v="0"/>
    <x v="0"/>
    <x v="6"/>
    <x v="2"/>
    <x v="0"/>
  </r>
  <r>
    <x v="195"/>
    <x v="2"/>
    <x v="7"/>
    <x v="4"/>
    <x v="3"/>
    <x v="2"/>
    <x v="0"/>
    <x v="7"/>
    <x v="1"/>
    <x v="1"/>
  </r>
  <r>
    <x v="196"/>
    <x v="17"/>
    <x v="0"/>
    <x v="3"/>
    <x v="2"/>
    <x v="12"/>
    <x v="0"/>
    <x v="0"/>
    <x v="2"/>
    <x v="0"/>
  </r>
  <r>
    <x v="197"/>
    <x v="1"/>
    <x v="2"/>
    <x v="1"/>
    <x v="1"/>
    <x v="1"/>
    <x v="0"/>
    <x v="2"/>
    <x v="0"/>
    <x v="1"/>
  </r>
  <r>
    <x v="198"/>
    <x v="30"/>
    <x v="7"/>
    <x v="3"/>
    <x v="3"/>
    <x v="1"/>
    <x v="0"/>
    <x v="7"/>
    <x v="4"/>
    <x v="1"/>
  </r>
  <r>
    <x v="199"/>
    <x v="84"/>
    <x v="1"/>
    <x v="3"/>
    <x v="0"/>
    <x v="5"/>
    <x v="0"/>
    <x v="1"/>
    <x v="1"/>
    <x v="0"/>
  </r>
  <r>
    <x v="200"/>
    <x v="85"/>
    <x v="9"/>
    <x v="1"/>
    <x v="2"/>
    <x v="10"/>
    <x v="1"/>
    <x v="9"/>
    <x v="4"/>
    <x v="1"/>
  </r>
  <r>
    <x v="201"/>
    <x v="79"/>
    <x v="3"/>
    <x v="1"/>
    <x v="0"/>
    <x v="11"/>
    <x v="0"/>
    <x v="3"/>
    <x v="0"/>
    <x v="1"/>
  </r>
  <r>
    <x v="202"/>
    <x v="40"/>
    <x v="1"/>
    <x v="1"/>
    <x v="2"/>
    <x v="10"/>
    <x v="0"/>
    <x v="1"/>
    <x v="0"/>
    <x v="0"/>
  </r>
  <r>
    <x v="203"/>
    <x v="5"/>
    <x v="7"/>
    <x v="0"/>
    <x v="0"/>
    <x v="5"/>
    <x v="0"/>
    <x v="7"/>
    <x v="2"/>
    <x v="1"/>
  </r>
  <r>
    <x v="204"/>
    <x v="64"/>
    <x v="8"/>
    <x v="2"/>
    <x v="3"/>
    <x v="2"/>
    <x v="1"/>
    <x v="8"/>
    <x v="4"/>
    <x v="0"/>
  </r>
  <r>
    <x v="205"/>
    <x v="58"/>
    <x v="6"/>
    <x v="4"/>
    <x v="3"/>
    <x v="8"/>
    <x v="1"/>
    <x v="6"/>
    <x v="2"/>
    <x v="0"/>
  </r>
  <r>
    <x v="206"/>
    <x v="86"/>
    <x v="4"/>
    <x v="0"/>
    <x v="0"/>
    <x v="1"/>
    <x v="1"/>
    <x v="4"/>
    <x v="0"/>
    <x v="1"/>
  </r>
  <r>
    <x v="207"/>
    <x v="63"/>
    <x v="8"/>
    <x v="3"/>
    <x v="0"/>
    <x v="3"/>
    <x v="0"/>
    <x v="8"/>
    <x v="3"/>
    <x v="0"/>
  </r>
  <r>
    <x v="208"/>
    <x v="6"/>
    <x v="5"/>
    <x v="3"/>
    <x v="1"/>
    <x v="6"/>
    <x v="1"/>
    <x v="5"/>
    <x v="2"/>
    <x v="0"/>
  </r>
  <r>
    <x v="209"/>
    <x v="87"/>
    <x v="0"/>
    <x v="2"/>
    <x v="0"/>
    <x v="14"/>
    <x v="0"/>
    <x v="0"/>
    <x v="1"/>
    <x v="0"/>
  </r>
  <r>
    <x v="210"/>
    <x v="37"/>
    <x v="3"/>
    <x v="2"/>
    <x v="0"/>
    <x v="14"/>
    <x v="1"/>
    <x v="3"/>
    <x v="4"/>
    <x v="1"/>
  </r>
  <r>
    <x v="211"/>
    <x v="36"/>
    <x v="6"/>
    <x v="2"/>
    <x v="1"/>
    <x v="14"/>
    <x v="1"/>
    <x v="6"/>
    <x v="1"/>
    <x v="0"/>
  </r>
  <r>
    <x v="212"/>
    <x v="5"/>
    <x v="9"/>
    <x v="2"/>
    <x v="3"/>
    <x v="5"/>
    <x v="0"/>
    <x v="9"/>
    <x v="2"/>
    <x v="1"/>
  </r>
  <r>
    <x v="213"/>
    <x v="66"/>
    <x v="1"/>
    <x v="3"/>
    <x v="0"/>
    <x v="0"/>
    <x v="0"/>
    <x v="1"/>
    <x v="2"/>
    <x v="0"/>
  </r>
  <r>
    <x v="214"/>
    <x v="54"/>
    <x v="6"/>
    <x v="2"/>
    <x v="3"/>
    <x v="10"/>
    <x v="0"/>
    <x v="6"/>
    <x v="4"/>
    <x v="0"/>
  </r>
  <r>
    <x v="215"/>
    <x v="88"/>
    <x v="9"/>
    <x v="0"/>
    <x v="1"/>
    <x v="9"/>
    <x v="0"/>
    <x v="9"/>
    <x v="4"/>
    <x v="1"/>
  </r>
  <r>
    <x v="216"/>
    <x v="42"/>
    <x v="4"/>
    <x v="4"/>
    <x v="1"/>
    <x v="11"/>
    <x v="1"/>
    <x v="4"/>
    <x v="3"/>
    <x v="1"/>
  </r>
  <r>
    <x v="217"/>
    <x v="49"/>
    <x v="1"/>
    <x v="1"/>
    <x v="2"/>
    <x v="5"/>
    <x v="1"/>
    <x v="1"/>
    <x v="0"/>
    <x v="0"/>
  </r>
  <r>
    <x v="218"/>
    <x v="28"/>
    <x v="6"/>
    <x v="4"/>
    <x v="1"/>
    <x v="4"/>
    <x v="0"/>
    <x v="6"/>
    <x v="1"/>
    <x v="0"/>
  </r>
  <r>
    <x v="219"/>
    <x v="32"/>
    <x v="3"/>
    <x v="2"/>
    <x v="1"/>
    <x v="9"/>
    <x v="0"/>
    <x v="3"/>
    <x v="1"/>
    <x v="1"/>
  </r>
  <r>
    <x v="220"/>
    <x v="83"/>
    <x v="3"/>
    <x v="0"/>
    <x v="2"/>
    <x v="8"/>
    <x v="0"/>
    <x v="3"/>
    <x v="0"/>
    <x v="1"/>
  </r>
  <r>
    <x v="221"/>
    <x v="6"/>
    <x v="7"/>
    <x v="3"/>
    <x v="2"/>
    <x v="6"/>
    <x v="1"/>
    <x v="7"/>
    <x v="2"/>
    <x v="1"/>
  </r>
  <r>
    <x v="222"/>
    <x v="15"/>
    <x v="4"/>
    <x v="3"/>
    <x v="2"/>
    <x v="5"/>
    <x v="0"/>
    <x v="4"/>
    <x v="4"/>
    <x v="1"/>
  </r>
  <r>
    <x v="223"/>
    <x v="27"/>
    <x v="8"/>
    <x v="3"/>
    <x v="1"/>
    <x v="4"/>
    <x v="0"/>
    <x v="8"/>
    <x v="0"/>
    <x v="0"/>
  </r>
  <r>
    <x v="224"/>
    <x v="46"/>
    <x v="5"/>
    <x v="2"/>
    <x v="1"/>
    <x v="6"/>
    <x v="1"/>
    <x v="5"/>
    <x v="2"/>
    <x v="0"/>
  </r>
  <r>
    <x v="225"/>
    <x v="42"/>
    <x v="2"/>
    <x v="4"/>
    <x v="3"/>
    <x v="11"/>
    <x v="1"/>
    <x v="2"/>
    <x v="3"/>
    <x v="1"/>
  </r>
  <r>
    <x v="226"/>
    <x v="89"/>
    <x v="5"/>
    <x v="4"/>
    <x v="3"/>
    <x v="7"/>
    <x v="1"/>
    <x v="5"/>
    <x v="2"/>
    <x v="0"/>
  </r>
  <r>
    <x v="227"/>
    <x v="26"/>
    <x v="3"/>
    <x v="4"/>
    <x v="2"/>
    <x v="6"/>
    <x v="1"/>
    <x v="3"/>
    <x v="0"/>
    <x v="1"/>
  </r>
  <r>
    <x v="228"/>
    <x v="58"/>
    <x v="1"/>
    <x v="4"/>
    <x v="0"/>
    <x v="8"/>
    <x v="1"/>
    <x v="1"/>
    <x v="2"/>
    <x v="0"/>
  </r>
  <r>
    <x v="229"/>
    <x v="9"/>
    <x v="8"/>
    <x v="2"/>
    <x v="2"/>
    <x v="7"/>
    <x v="0"/>
    <x v="8"/>
    <x v="3"/>
    <x v="0"/>
  </r>
  <r>
    <x v="230"/>
    <x v="47"/>
    <x v="8"/>
    <x v="1"/>
    <x v="2"/>
    <x v="8"/>
    <x v="0"/>
    <x v="8"/>
    <x v="2"/>
    <x v="0"/>
  </r>
  <r>
    <x v="231"/>
    <x v="83"/>
    <x v="1"/>
    <x v="0"/>
    <x v="2"/>
    <x v="8"/>
    <x v="0"/>
    <x v="1"/>
    <x v="0"/>
    <x v="0"/>
  </r>
  <r>
    <x v="232"/>
    <x v="56"/>
    <x v="2"/>
    <x v="0"/>
    <x v="0"/>
    <x v="4"/>
    <x v="0"/>
    <x v="2"/>
    <x v="4"/>
    <x v="1"/>
  </r>
  <r>
    <x v="233"/>
    <x v="68"/>
    <x v="8"/>
    <x v="3"/>
    <x v="1"/>
    <x v="5"/>
    <x v="0"/>
    <x v="8"/>
    <x v="1"/>
    <x v="0"/>
  </r>
  <r>
    <x v="234"/>
    <x v="44"/>
    <x v="1"/>
    <x v="1"/>
    <x v="1"/>
    <x v="12"/>
    <x v="1"/>
    <x v="1"/>
    <x v="1"/>
    <x v="0"/>
  </r>
  <r>
    <x v="235"/>
    <x v="49"/>
    <x v="6"/>
    <x v="2"/>
    <x v="1"/>
    <x v="5"/>
    <x v="1"/>
    <x v="6"/>
    <x v="0"/>
    <x v="0"/>
  </r>
  <r>
    <x v="236"/>
    <x v="90"/>
    <x v="3"/>
    <x v="4"/>
    <x v="3"/>
    <x v="10"/>
    <x v="1"/>
    <x v="3"/>
    <x v="3"/>
    <x v="1"/>
  </r>
  <r>
    <x v="237"/>
    <x v="0"/>
    <x v="1"/>
    <x v="1"/>
    <x v="3"/>
    <x v="0"/>
    <x v="0"/>
    <x v="1"/>
    <x v="0"/>
    <x v="0"/>
  </r>
  <r>
    <x v="238"/>
    <x v="0"/>
    <x v="4"/>
    <x v="3"/>
    <x v="3"/>
    <x v="0"/>
    <x v="0"/>
    <x v="4"/>
    <x v="0"/>
    <x v="1"/>
  </r>
  <r>
    <x v="239"/>
    <x v="8"/>
    <x v="2"/>
    <x v="0"/>
    <x v="1"/>
    <x v="2"/>
    <x v="0"/>
    <x v="2"/>
    <x v="1"/>
    <x v="1"/>
  </r>
  <r>
    <x v="240"/>
    <x v="62"/>
    <x v="3"/>
    <x v="2"/>
    <x v="0"/>
    <x v="7"/>
    <x v="0"/>
    <x v="3"/>
    <x v="2"/>
    <x v="1"/>
  </r>
  <r>
    <x v="241"/>
    <x v="53"/>
    <x v="8"/>
    <x v="2"/>
    <x v="1"/>
    <x v="7"/>
    <x v="0"/>
    <x v="8"/>
    <x v="3"/>
    <x v="0"/>
  </r>
  <r>
    <x v="242"/>
    <x v="3"/>
    <x v="3"/>
    <x v="0"/>
    <x v="1"/>
    <x v="3"/>
    <x v="1"/>
    <x v="3"/>
    <x v="2"/>
    <x v="1"/>
  </r>
  <r>
    <x v="243"/>
    <x v="38"/>
    <x v="2"/>
    <x v="4"/>
    <x v="0"/>
    <x v="5"/>
    <x v="1"/>
    <x v="2"/>
    <x v="0"/>
    <x v="1"/>
  </r>
  <r>
    <x v="244"/>
    <x v="69"/>
    <x v="3"/>
    <x v="4"/>
    <x v="1"/>
    <x v="14"/>
    <x v="1"/>
    <x v="3"/>
    <x v="0"/>
    <x v="1"/>
  </r>
  <r>
    <x v="245"/>
    <x v="91"/>
    <x v="2"/>
    <x v="3"/>
    <x v="0"/>
    <x v="1"/>
    <x v="0"/>
    <x v="2"/>
    <x v="1"/>
    <x v="1"/>
  </r>
  <r>
    <x v="246"/>
    <x v="71"/>
    <x v="2"/>
    <x v="0"/>
    <x v="3"/>
    <x v="4"/>
    <x v="1"/>
    <x v="2"/>
    <x v="2"/>
    <x v="1"/>
  </r>
  <r>
    <x v="247"/>
    <x v="39"/>
    <x v="9"/>
    <x v="2"/>
    <x v="2"/>
    <x v="9"/>
    <x v="0"/>
    <x v="9"/>
    <x v="3"/>
    <x v="1"/>
  </r>
  <r>
    <x v="248"/>
    <x v="37"/>
    <x v="9"/>
    <x v="3"/>
    <x v="1"/>
    <x v="14"/>
    <x v="1"/>
    <x v="9"/>
    <x v="4"/>
    <x v="1"/>
  </r>
  <r>
    <x v="249"/>
    <x v="49"/>
    <x v="3"/>
    <x v="2"/>
    <x v="2"/>
    <x v="5"/>
    <x v="1"/>
    <x v="3"/>
    <x v="0"/>
    <x v="1"/>
  </r>
  <r>
    <x v="250"/>
    <x v="40"/>
    <x v="8"/>
    <x v="0"/>
    <x v="0"/>
    <x v="10"/>
    <x v="0"/>
    <x v="8"/>
    <x v="0"/>
    <x v="0"/>
  </r>
  <r>
    <x v="251"/>
    <x v="79"/>
    <x v="2"/>
    <x v="0"/>
    <x v="1"/>
    <x v="11"/>
    <x v="0"/>
    <x v="2"/>
    <x v="0"/>
    <x v="1"/>
  </r>
  <r>
    <x v="252"/>
    <x v="61"/>
    <x v="9"/>
    <x v="2"/>
    <x v="1"/>
    <x v="0"/>
    <x v="0"/>
    <x v="9"/>
    <x v="1"/>
    <x v="1"/>
  </r>
  <r>
    <x v="253"/>
    <x v="76"/>
    <x v="1"/>
    <x v="0"/>
    <x v="2"/>
    <x v="9"/>
    <x v="1"/>
    <x v="1"/>
    <x v="3"/>
    <x v="0"/>
  </r>
  <r>
    <x v="254"/>
    <x v="53"/>
    <x v="4"/>
    <x v="1"/>
    <x v="2"/>
    <x v="7"/>
    <x v="0"/>
    <x v="4"/>
    <x v="3"/>
    <x v="1"/>
  </r>
  <r>
    <x v="255"/>
    <x v="40"/>
    <x v="2"/>
    <x v="2"/>
    <x v="1"/>
    <x v="10"/>
    <x v="0"/>
    <x v="2"/>
    <x v="0"/>
    <x v="1"/>
  </r>
  <r>
    <x v="256"/>
    <x v="3"/>
    <x v="4"/>
    <x v="3"/>
    <x v="3"/>
    <x v="3"/>
    <x v="1"/>
    <x v="4"/>
    <x v="2"/>
    <x v="1"/>
  </r>
  <r>
    <x v="257"/>
    <x v="76"/>
    <x v="5"/>
    <x v="1"/>
    <x v="3"/>
    <x v="9"/>
    <x v="1"/>
    <x v="5"/>
    <x v="3"/>
    <x v="0"/>
  </r>
  <r>
    <x v="258"/>
    <x v="11"/>
    <x v="0"/>
    <x v="1"/>
    <x v="1"/>
    <x v="2"/>
    <x v="0"/>
    <x v="0"/>
    <x v="2"/>
    <x v="0"/>
  </r>
  <r>
    <x v="259"/>
    <x v="39"/>
    <x v="0"/>
    <x v="0"/>
    <x v="0"/>
    <x v="9"/>
    <x v="0"/>
    <x v="0"/>
    <x v="3"/>
    <x v="0"/>
  </r>
  <r>
    <x v="260"/>
    <x v="33"/>
    <x v="9"/>
    <x v="0"/>
    <x v="3"/>
    <x v="3"/>
    <x v="0"/>
    <x v="9"/>
    <x v="1"/>
    <x v="1"/>
  </r>
  <r>
    <x v="261"/>
    <x v="46"/>
    <x v="1"/>
    <x v="3"/>
    <x v="2"/>
    <x v="6"/>
    <x v="1"/>
    <x v="1"/>
    <x v="2"/>
    <x v="0"/>
  </r>
  <r>
    <x v="262"/>
    <x v="49"/>
    <x v="4"/>
    <x v="2"/>
    <x v="0"/>
    <x v="5"/>
    <x v="1"/>
    <x v="4"/>
    <x v="0"/>
    <x v="1"/>
  </r>
  <r>
    <x v="263"/>
    <x v="89"/>
    <x v="3"/>
    <x v="2"/>
    <x v="3"/>
    <x v="7"/>
    <x v="1"/>
    <x v="3"/>
    <x v="2"/>
    <x v="1"/>
  </r>
  <r>
    <x v="264"/>
    <x v="70"/>
    <x v="4"/>
    <x v="3"/>
    <x v="2"/>
    <x v="2"/>
    <x v="0"/>
    <x v="4"/>
    <x v="3"/>
    <x v="1"/>
  </r>
  <r>
    <x v="265"/>
    <x v="88"/>
    <x v="8"/>
    <x v="3"/>
    <x v="3"/>
    <x v="9"/>
    <x v="0"/>
    <x v="8"/>
    <x v="4"/>
    <x v="0"/>
  </r>
  <r>
    <x v="266"/>
    <x v="62"/>
    <x v="4"/>
    <x v="4"/>
    <x v="2"/>
    <x v="7"/>
    <x v="0"/>
    <x v="4"/>
    <x v="2"/>
    <x v="1"/>
  </r>
  <r>
    <x v="267"/>
    <x v="59"/>
    <x v="4"/>
    <x v="0"/>
    <x v="1"/>
    <x v="6"/>
    <x v="1"/>
    <x v="4"/>
    <x v="2"/>
    <x v="1"/>
  </r>
  <r>
    <x v="268"/>
    <x v="15"/>
    <x v="7"/>
    <x v="0"/>
    <x v="0"/>
    <x v="5"/>
    <x v="0"/>
    <x v="7"/>
    <x v="4"/>
    <x v="1"/>
  </r>
  <r>
    <x v="269"/>
    <x v="13"/>
    <x v="8"/>
    <x v="0"/>
    <x v="1"/>
    <x v="10"/>
    <x v="1"/>
    <x v="8"/>
    <x v="3"/>
    <x v="0"/>
  </r>
  <r>
    <x v="270"/>
    <x v="9"/>
    <x v="1"/>
    <x v="2"/>
    <x v="2"/>
    <x v="7"/>
    <x v="0"/>
    <x v="1"/>
    <x v="3"/>
    <x v="0"/>
  </r>
  <r>
    <x v="271"/>
    <x v="90"/>
    <x v="4"/>
    <x v="4"/>
    <x v="1"/>
    <x v="10"/>
    <x v="1"/>
    <x v="4"/>
    <x v="3"/>
    <x v="1"/>
  </r>
  <r>
    <x v="272"/>
    <x v="43"/>
    <x v="2"/>
    <x v="0"/>
    <x v="0"/>
    <x v="7"/>
    <x v="0"/>
    <x v="2"/>
    <x v="4"/>
    <x v="1"/>
  </r>
  <r>
    <x v="273"/>
    <x v="87"/>
    <x v="9"/>
    <x v="3"/>
    <x v="1"/>
    <x v="14"/>
    <x v="0"/>
    <x v="9"/>
    <x v="1"/>
    <x v="1"/>
  </r>
  <r>
    <x v="274"/>
    <x v="80"/>
    <x v="3"/>
    <x v="2"/>
    <x v="3"/>
    <x v="0"/>
    <x v="1"/>
    <x v="3"/>
    <x v="0"/>
    <x v="1"/>
  </r>
  <r>
    <x v="275"/>
    <x v="3"/>
    <x v="9"/>
    <x v="2"/>
    <x v="1"/>
    <x v="3"/>
    <x v="1"/>
    <x v="9"/>
    <x v="2"/>
    <x v="1"/>
  </r>
  <r>
    <x v="276"/>
    <x v="92"/>
    <x v="2"/>
    <x v="2"/>
    <x v="0"/>
    <x v="12"/>
    <x v="0"/>
    <x v="2"/>
    <x v="0"/>
    <x v="1"/>
  </r>
  <r>
    <x v="277"/>
    <x v="91"/>
    <x v="9"/>
    <x v="3"/>
    <x v="0"/>
    <x v="1"/>
    <x v="0"/>
    <x v="9"/>
    <x v="1"/>
    <x v="1"/>
  </r>
  <r>
    <x v="278"/>
    <x v="33"/>
    <x v="8"/>
    <x v="1"/>
    <x v="2"/>
    <x v="3"/>
    <x v="0"/>
    <x v="8"/>
    <x v="1"/>
    <x v="0"/>
  </r>
  <r>
    <x v="279"/>
    <x v="68"/>
    <x v="5"/>
    <x v="4"/>
    <x v="3"/>
    <x v="5"/>
    <x v="0"/>
    <x v="5"/>
    <x v="1"/>
    <x v="0"/>
  </r>
  <r>
    <x v="280"/>
    <x v="77"/>
    <x v="6"/>
    <x v="2"/>
    <x v="2"/>
    <x v="5"/>
    <x v="0"/>
    <x v="6"/>
    <x v="3"/>
    <x v="0"/>
  </r>
  <r>
    <x v="281"/>
    <x v="37"/>
    <x v="8"/>
    <x v="1"/>
    <x v="3"/>
    <x v="14"/>
    <x v="1"/>
    <x v="8"/>
    <x v="4"/>
    <x v="0"/>
  </r>
  <r>
    <x v="282"/>
    <x v="5"/>
    <x v="5"/>
    <x v="3"/>
    <x v="3"/>
    <x v="5"/>
    <x v="0"/>
    <x v="5"/>
    <x v="2"/>
    <x v="0"/>
  </r>
  <r>
    <x v="283"/>
    <x v="14"/>
    <x v="1"/>
    <x v="0"/>
    <x v="2"/>
    <x v="11"/>
    <x v="1"/>
    <x v="1"/>
    <x v="1"/>
    <x v="0"/>
  </r>
  <r>
    <x v="284"/>
    <x v="32"/>
    <x v="7"/>
    <x v="3"/>
    <x v="3"/>
    <x v="9"/>
    <x v="0"/>
    <x v="7"/>
    <x v="1"/>
    <x v="1"/>
  </r>
  <r>
    <x v="285"/>
    <x v="22"/>
    <x v="1"/>
    <x v="3"/>
    <x v="2"/>
    <x v="12"/>
    <x v="0"/>
    <x v="1"/>
    <x v="3"/>
    <x v="0"/>
  </r>
  <r>
    <x v="286"/>
    <x v="20"/>
    <x v="5"/>
    <x v="4"/>
    <x v="1"/>
    <x v="10"/>
    <x v="0"/>
    <x v="5"/>
    <x v="0"/>
    <x v="0"/>
  </r>
  <r>
    <x v="287"/>
    <x v="32"/>
    <x v="5"/>
    <x v="2"/>
    <x v="3"/>
    <x v="9"/>
    <x v="0"/>
    <x v="5"/>
    <x v="1"/>
    <x v="0"/>
  </r>
  <r>
    <x v="288"/>
    <x v="91"/>
    <x v="8"/>
    <x v="4"/>
    <x v="0"/>
    <x v="1"/>
    <x v="0"/>
    <x v="8"/>
    <x v="1"/>
    <x v="0"/>
  </r>
  <r>
    <x v="289"/>
    <x v="86"/>
    <x v="8"/>
    <x v="3"/>
    <x v="3"/>
    <x v="1"/>
    <x v="1"/>
    <x v="8"/>
    <x v="0"/>
    <x v="0"/>
  </r>
  <r>
    <x v="290"/>
    <x v="27"/>
    <x v="1"/>
    <x v="4"/>
    <x v="0"/>
    <x v="4"/>
    <x v="0"/>
    <x v="1"/>
    <x v="0"/>
    <x v="0"/>
  </r>
  <r>
    <x v="291"/>
    <x v="11"/>
    <x v="0"/>
    <x v="1"/>
    <x v="2"/>
    <x v="2"/>
    <x v="0"/>
    <x v="0"/>
    <x v="2"/>
    <x v="0"/>
  </r>
  <r>
    <x v="292"/>
    <x v="80"/>
    <x v="3"/>
    <x v="4"/>
    <x v="0"/>
    <x v="0"/>
    <x v="1"/>
    <x v="3"/>
    <x v="0"/>
    <x v="1"/>
  </r>
  <r>
    <x v="293"/>
    <x v="12"/>
    <x v="6"/>
    <x v="0"/>
    <x v="2"/>
    <x v="9"/>
    <x v="1"/>
    <x v="6"/>
    <x v="2"/>
    <x v="0"/>
  </r>
  <r>
    <x v="294"/>
    <x v="73"/>
    <x v="6"/>
    <x v="4"/>
    <x v="1"/>
    <x v="8"/>
    <x v="0"/>
    <x v="6"/>
    <x v="1"/>
    <x v="0"/>
  </r>
  <r>
    <x v="295"/>
    <x v="77"/>
    <x v="6"/>
    <x v="3"/>
    <x v="3"/>
    <x v="5"/>
    <x v="0"/>
    <x v="6"/>
    <x v="3"/>
    <x v="0"/>
  </r>
  <r>
    <x v="296"/>
    <x v="58"/>
    <x v="3"/>
    <x v="1"/>
    <x v="3"/>
    <x v="8"/>
    <x v="1"/>
    <x v="3"/>
    <x v="2"/>
    <x v="1"/>
  </r>
  <r>
    <x v="297"/>
    <x v="48"/>
    <x v="5"/>
    <x v="2"/>
    <x v="3"/>
    <x v="14"/>
    <x v="1"/>
    <x v="5"/>
    <x v="4"/>
    <x v="0"/>
  </r>
  <r>
    <x v="298"/>
    <x v="44"/>
    <x v="5"/>
    <x v="2"/>
    <x v="3"/>
    <x v="12"/>
    <x v="1"/>
    <x v="5"/>
    <x v="1"/>
    <x v="0"/>
  </r>
  <r>
    <x v="299"/>
    <x v="65"/>
    <x v="4"/>
    <x v="2"/>
    <x v="1"/>
    <x v="5"/>
    <x v="1"/>
    <x v="4"/>
    <x v="0"/>
    <x v="1"/>
  </r>
  <r>
    <x v="300"/>
    <x v="65"/>
    <x v="3"/>
    <x v="1"/>
    <x v="3"/>
    <x v="5"/>
    <x v="1"/>
    <x v="3"/>
    <x v="0"/>
    <x v="1"/>
  </r>
  <r>
    <x v="301"/>
    <x v="42"/>
    <x v="3"/>
    <x v="3"/>
    <x v="2"/>
    <x v="11"/>
    <x v="1"/>
    <x v="3"/>
    <x v="3"/>
    <x v="1"/>
  </r>
  <r>
    <x v="302"/>
    <x v="21"/>
    <x v="6"/>
    <x v="3"/>
    <x v="3"/>
    <x v="5"/>
    <x v="0"/>
    <x v="6"/>
    <x v="1"/>
    <x v="0"/>
  </r>
  <r>
    <x v="303"/>
    <x v="65"/>
    <x v="9"/>
    <x v="2"/>
    <x v="3"/>
    <x v="5"/>
    <x v="1"/>
    <x v="9"/>
    <x v="0"/>
    <x v="1"/>
  </r>
  <r>
    <x v="304"/>
    <x v="33"/>
    <x v="8"/>
    <x v="2"/>
    <x v="0"/>
    <x v="3"/>
    <x v="0"/>
    <x v="8"/>
    <x v="1"/>
    <x v="0"/>
  </r>
  <r>
    <x v="305"/>
    <x v="30"/>
    <x v="9"/>
    <x v="3"/>
    <x v="3"/>
    <x v="1"/>
    <x v="0"/>
    <x v="9"/>
    <x v="4"/>
    <x v="1"/>
  </r>
  <r>
    <x v="306"/>
    <x v="58"/>
    <x v="3"/>
    <x v="4"/>
    <x v="1"/>
    <x v="8"/>
    <x v="1"/>
    <x v="3"/>
    <x v="2"/>
    <x v="1"/>
  </r>
  <r>
    <x v="307"/>
    <x v="53"/>
    <x v="6"/>
    <x v="4"/>
    <x v="0"/>
    <x v="7"/>
    <x v="0"/>
    <x v="6"/>
    <x v="3"/>
    <x v="0"/>
  </r>
  <r>
    <x v="308"/>
    <x v="8"/>
    <x v="4"/>
    <x v="2"/>
    <x v="0"/>
    <x v="2"/>
    <x v="0"/>
    <x v="4"/>
    <x v="1"/>
    <x v="1"/>
  </r>
  <r>
    <x v="309"/>
    <x v="45"/>
    <x v="5"/>
    <x v="2"/>
    <x v="2"/>
    <x v="5"/>
    <x v="1"/>
    <x v="5"/>
    <x v="1"/>
    <x v="0"/>
  </r>
  <r>
    <x v="310"/>
    <x v="11"/>
    <x v="4"/>
    <x v="0"/>
    <x v="0"/>
    <x v="2"/>
    <x v="0"/>
    <x v="4"/>
    <x v="2"/>
    <x v="1"/>
  </r>
  <r>
    <x v="311"/>
    <x v="64"/>
    <x v="5"/>
    <x v="0"/>
    <x v="2"/>
    <x v="2"/>
    <x v="1"/>
    <x v="5"/>
    <x v="4"/>
    <x v="0"/>
  </r>
  <r>
    <x v="312"/>
    <x v="36"/>
    <x v="3"/>
    <x v="2"/>
    <x v="3"/>
    <x v="14"/>
    <x v="1"/>
    <x v="3"/>
    <x v="1"/>
    <x v="1"/>
  </r>
  <r>
    <x v="313"/>
    <x v="2"/>
    <x v="0"/>
    <x v="0"/>
    <x v="2"/>
    <x v="2"/>
    <x v="0"/>
    <x v="0"/>
    <x v="1"/>
    <x v="0"/>
  </r>
  <r>
    <x v="314"/>
    <x v="20"/>
    <x v="2"/>
    <x v="1"/>
    <x v="2"/>
    <x v="10"/>
    <x v="0"/>
    <x v="2"/>
    <x v="0"/>
    <x v="1"/>
  </r>
  <r>
    <x v="315"/>
    <x v="93"/>
    <x v="0"/>
    <x v="4"/>
    <x v="0"/>
    <x v="10"/>
    <x v="1"/>
    <x v="0"/>
    <x v="0"/>
    <x v="0"/>
  </r>
  <r>
    <x v="316"/>
    <x v="48"/>
    <x v="7"/>
    <x v="1"/>
    <x v="3"/>
    <x v="14"/>
    <x v="1"/>
    <x v="7"/>
    <x v="4"/>
    <x v="1"/>
  </r>
  <r>
    <x v="317"/>
    <x v="18"/>
    <x v="1"/>
    <x v="4"/>
    <x v="1"/>
    <x v="4"/>
    <x v="1"/>
    <x v="1"/>
    <x v="4"/>
    <x v="0"/>
  </r>
  <r>
    <x v="318"/>
    <x v="22"/>
    <x v="1"/>
    <x v="2"/>
    <x v="3"/>
    <x v="12"/>
    <x v="0"/>
    <x v="1"/>
    <x v="3"/>
    <x v="0"/>
  </r>
  <r>
    <x v="319"/>
    <x v="32"/>
    <x v="3"/>
    <x v="2"/>
    <x v="2"/>
    <x v="9"/>
    <x v="0"/>
    <x v="3"/>
    <x v="1"/>
    <x v="1"/>
  </r>
  <r>
    <x v="320"/>
    <x v="23"/>
    <x v="0"/>
    <x v="1"/>
    <x v="3"/>
    <x v="8"/>
    <x v="0"/>
    <x v="0"/>
    <x v="4"/>
    <x v="0"/>
  </r>
  <r>
    <x v="321"/>
    <x v="4"/>
    <x v="4"/>
    <x v="3"/>
    <x v="2"/>
    <x v="4"/>
    <x v="0"/>
    <x v="4"/>
    <x v="0"/>
    <x v="1"/>
  </r>
  <r>
    <x v="322"/>
    <x v="14"/>
    <x v="6"/>
    <x v="2"/>
    <x v="2"/>
    <x v="11"/>
    <x v="1"/>
    <x v="6"/>
    <x v="1"/>
    <x v="0"/>
  </r>
  <r>
    <x v="323"/>
    <x v="44"/>
    <x v="6"/>
    <x v="2"/>
    <x v="1"/>
    <x v="12"/>
    <x v="1"/>
    <x v="6"/>
    <x v="1"/>
    <x v="0"/>
  </r>
  <r>
    <x v="324"/>
    <x v="56"/>
    <x v="1"/>
    <x v="0"/>
    <x v="0"/>
    <x v="4"/>
    <x v="0"/>
    <x v="1"/>
    <x v="4"/>
    <x v="0"/>
  </r>
  <r>
    <x v="325"/>
    <x v="30"/>
    <x v="7"/>
    <x v="0"/>
    <x v="2"/>
    <x v="1"/>
    <x v="0"/>
    <x v="7"/>
    <x v="4"/>
    <x v="1"/>
  </r>
  <r>
    <x v="326"/>
    <x v="1"/>
    <x v="9"/>
    <x v="1"/>
    <x v="2"/>
    <x v="1"/>
    <x v="0"/>
    <x v="9"/>
    <x v="0"/>
    <x v="1"/>
  </r>
  <r>
    <x v="327"/>
    <x v="17"/>
    <x v="7"/>
    <x v="3"/>
    <x v="1"/>
    <x v="12"/>
    <x v="0"/>
    <x v="7"/>
    <x v="2"/>
    <x v="1"/>
  </r>
  <r>
    <x v="328"/>
    <x v="48"/>
    <x v="0"/>
    <x v="2"/>
    <x v="2"/>
    <x v="14"/>
    <x v="1"/>
    <x v="0"/>
    <x v="4"/>
    <x v="0"/>
  </r>
  <r>
    <x v="329"/>
    <x v="74"/>
    <x v="2"/>
    <x v="2"/>
    <x v="3"/>
    <x v="14"/>
    <x v="1"/>
    <x v="2"/>
    <x v="0"/>
    <x v="1"/>
  </r>
  <r>
    <x v="330"/>
    <x v="63"/>
    <x v="7"/>
    <x v="2"/>
    <x v="2"/>
    <x v="3"/>
    <x v="0"/>
    <x v="7"/>
    <x v="3"/>
    <x v="1"/>
  </r>
  <r>
    <x v="331"/>
    <x v="72"/>
    <x v="5"/>
    <x v="1"/>
    <x v="1"/>
    <x v="0"/>
    <x v="0"/>
    <x v="5"/>
    <x v="2"/>
    <x v="0"/>
  </r>
  <r>
    <x v="332"/>
    <x v="74"/>
    <x v="8"/>
    <x v="4"/>
    <x v="1"/>
    <x v="14"/>
    <x v="1"/>
    <x v="8"/>
    <x v="0"/>
    <x v="0"/>
  </r>
  <r>
    <x v="333"/>
    <x v="77"/>
    <x v="3"/>
    <x v="4"/>
    <x v="0"/>
    <x v="5"/>
    <x v="0"/>
    <x v="3"/>
    <x v="3"/>
    <x v="1"/>
  </r>
  <r>
    <x v="334"/>
    <x v="27"/>
    <x v="9"/>
    <x v="0"/>
    <x v="2"/>
    <x v="4"/>
    <x v="0"/>
    <x v="9"/>
    <x v="0"/>
    <x v="1"/>
  </r>
  <r>
    <x v="335"/>
    <x v="39"/>
    <x v="5"/>
    <x v="0"/>
    <x v="0"/>
    <x v="9"/>
    <x v="0"/>
    <x v="5"/>
    <x v="3"/>
    <x v="0"/>
  </r>
  <r>
    <x v="336"/>
    <x v="62"/>
    <x v="4"/>
    <x v="2"/>
    <x v="1"/>
    <x v="7"/>
    <x v="0"/>
    <x v="4"/>
    <x v="2"/>
    <x v="1"/>
  </r>
  <r>
    <x v="337"/>
    <x v="80"/>
    <x v="6"/>
    <x v="3"/>
    <x v="1"/>
    <x v="0"/>
    <x v="1"/>
    <x v="6"/>
    <x v="0"/>
    <x v="0"/>
  </r>
  <r>
    <x v="338"/>
    <x v="10"/>
    <x v="8"/>
    <x v="3"/>
    <x v="2"/>
    <x v="8"/>
    <x v="0"/>
    <x v="8"/>
    <x v="4"/>
    <x v="0"/>
  </r>
  <r>
    <x v="339"/>
    <x v="79"/>
    <x v="2"/>
    <x v="3"/>
    <x v="3"/>
    <x v="11"/>
    <x v="0"/>
    <x v="2"/>
    <x v="0"/>
    <x v="1"/>
  </r>
  <r>
    <x v="340"/>
    <x v="37"/>
    <x v="6"/>
    <x v="2"/>
    <x v="1"/>
    <x v="14"/>
    <x v="1"/>
    <x v="6"/>
    <x v="4"/>
    <x v="0"/>
  </r>
  <r>
    <x v="341"/>
    <x v="33"/>
    <x v="5"/>
    <x v="0"/>
    <x v="0"/>
    <x v="3"/>
    <x v="0"/>
    <x v="5"/>
    <x v="1"/>
    <x v="0"/>
  </r>
  <r>
    <x v="342"/>
    <x v="11"/>
    <x v="6"/>
    <x v="4"/>
    <x v="3"/>
    <x v="2"/>
    <x v="0"/>
    <x v="6"/>
    <x v="2"/>
    <x v="0"/>
  </r>
  <r>
    <x v="343"/>
    <x v="6"/>
    <x v="9"/>
    <x v="1"/>
    <x v="2"/>
    <x v="6"/>
    <x v="1"/>
    <x v="9"/>
    <x v="2"/>
    <x v="1"/>
  </r>
  <r>
    <x v="344"/>
    <x v="77"/>
    <x v="9"/>
    <x v="2"/>
    <x v="1"/>
    <x v="5"/>
    <x v="0"/>
    <x v="9"/>
    <x v="3"/>
    <x v="1"/>
  </r>
  <r>
    <x v="345"/>
    <x v="27"/>
    <x v="8"/>
    <x v="3"/>
    <x v="3"/>
    <x v="4"/>
    <x v="0"/>
    <x v="8"/>
    <x v="0"/>
    <x v="0"/>
  </r>
  <r>
    <x v="346"/>
    <x v="24"/>
    <x v="7"/>
    <x v="2"/>
    <x v="1"/>
    <x v="13"/>
    <x v="0"/>
    <x v="7"/>
    <x v="2"/>
    <x v="1"/>
  </r>
  <r>
    <x v="347"/>
    <x v="56"/>
    <x v="2"/>
    <x v="4"/>
    <x v="2"/>
    <x v="4"/>
    <x v="0"/>
    <x v="2"/>
    <x v="4"/>
    <x v="1"/>
  </r>
  <r>
    <x v="348"/>
    <x v="35"/>
    <x v="8"/>
    <x v="0"/>
    <x v="1"/>
    <x v="12"/>
    <x v="0"/>
    <x v="8"/>
    <x v="4"/>
    <x v="0"/>
  </r>
  <r>
    <x v="349"/>
    <x v="31"/>
    <x v="0"/>
    <x v="0"/>
    <x v="3"/>
    <x v="9"/>
    <x v="0"/>
    <x v="0"/>
    <x v="2"/>
    <x v="0"/>
  </r>
  <r>
    <x v="350"/>
    <x v="28"/>
    <x v="7"/>
    <x v="0"/>
    <x v="3"/>
    <x v="4"/>
    <x v="0"/>
    <x v="7"/>
    <x v="1"/>
    <x v="1"/>
  </r>
  <r>
    <x v="351"/>
    <x v="63"/>
    <x v="6"/>
    <x v="1"/>
    <x v="2"/>
    <x v="3"/>
    <x v="0"/>
    <x v="6"/>
    <x v="3"/>
    <x v="0"/>
  </r>
  <r>
    <x v="352"/>
    <x v="49"/>
    <x v="8"/>
    <x v="1"/>
    <x v="3"/>
    <x v="5"/>
    <x v="1"/>
    <x v="8"/>
    <x v="0"/>
    <x v="0"/>
  </r>
  <r>
    <x v="353"/>
    <x v="45"/>
    <x v="8"/>
    <x v="1"/>
    <x v="3"/>
    <x v="5"/>
    <x v="1"/>
    <x v="8"/>
    <x v="1"/>
    <x v="0"/>
  </r>
  <r>
    <x v="354"/>
    <x v="94"/>
    <x v="2"/>
    <x v="3"/>
    <x v="2"/>
    <x v="4"/>
    <x v="1"/>
    <x v="2"/>
    <x v="1"/>
    <x v="1"/>
  </r>
  <r>
    <x v="355"/>
    <x v="44"/>
    <x v="4"/>
    <x v="4"/>
    <x v="0"/>
    <x v="12"/>
    <x v="1"/>
    <x v="4"/>
    <x v="1"/>
    <x v="1"/>
  </r>
  <r>
    <x v="356"/>
    <x v="35"/>
    <x v="2"/>
    <x v="0"/>
    <x v="1"/>
    <x v="12"/>
    <x v="0"/>
    <x v="2"/>
    <x v="4"/>
    <x v="1"/>
  </r>
  <r>
    <x v="357"/>
    <x v="44"/>
    <x v="6"/>
    <x v="0"/>
    <x v="3"/>
    <x v="12"/>
    <x v="1"/>
    <x v="6"/>
    <x v="1"/>
    <x v="0"/>
  </r>
  <r>
    <x v="358"/>
    <x v="32"/>
    <x v="5"/>
    <x v="1"/>
    <x v="0"/>
    <x v="9"/>
    <x v="0"/>
    <x v="5"/>
    <x v="1"/>
    <x v="0"/>
  </r>
  <r>
    <x v="359"/>
    <x v="78"/>
    <x v="8"/>
    <x v="0"/>
    <x v="2"/>
    <x v="3"/>
    <x v="1"/>
    <x v="8"/>
    <x v="4"/>
    <x v="0"/>
  </r>
  <r>
    <x v="360"/>
    <x v="11"/>
    <x v="6"/>
    <x v="4"/>
    <x v="2"/>
    <x v="2"/>
    <x v="0"/>
    <x v="6"/>
    <x v="2"/>
    <x v="0"/>
  </r>
  <r>
    <x v="361"/>
    <x v="5"/>
    <x v="7"/>
    <x v="3"/>
    <x v="2"/>
    <x v="5"/>
    <x v="0"/>
    <x v="7"/>
    <x v="2"/>
    <x v="1"/>
  </r>
  <r>
    <x v="362"/>
    <x v="12"/>
    <x v="3"/>
    <x v="2"/>
    <x v="1"/>
    <x v="9"/>
    <x v="1"/>
    <x v="3"/>
    <x v="2"/>
    <x v="1"/>
  </r>
  <r>
    <x v="363"/>
    <x v="92"/>
    <x v="5"/>
    <x v="1"/>
    <x v="1"/>
    <x v="12"/>
    <x v="0"/>
    <x v="5"/>
    <x v="0"/>
    <x v="0"/>
  </r>
  <r>
    <x v="364"/>
    <x v="42"/>
    <x v="1"/>
    <x v="2"/>
    <x v="3"/>
    <x v="11"/>
    <x v="1"/>
    <x v="1"/>
    <x v="3"/>
    <x v="0"/>
  </r>
  <r>
    <x v="365"/>
    <x v="12"/>
    <x v="4"/>
    <x v="4"/>
    <x v="1"/>
    <x v="9"/>
    <x v="1"/>
    <x v="4"/>
    <x v="2"/>
    <x v="1"/>
  </r>
  <r>
    <x v="366"/>
    <x v="91"/>
    <x v="9"/>
    <x v="1"/>
    <x v="3"/>
    <x v="1"/>
    <x v="0"/>
    <x v="9"/>
    <x v="1"/>
    <x v="1"/>
  </r>
  <r>
    <x v="367"/>
    <x v="79"/>
    <x v="8"/>
    <x v="3"/>
    <x v="0"/>
    <x v="11"/>
    <x v="0"/>
    <x v="8"/>
    <x v="0"/>
    <x v="0"/>
  </r>
  <r>
    <x v="368"/>
    <x v="80"/>
    <x v="6"/>
    <x v="1"/>
    <x v="3"/>
    <x v="0"/>
    <x v="1"/>
    <x v="6"/>
    <x v="0"/>
    <x v="0"/>
  </r>
  <r>
    <x v="369"/>
    <x v="95"/>
    <x v="2"/>
    <x v="2"/>
    <x v="1"/>
    <x v="0"/>
    <x v="0"/>
    <x v="2"/>
    <x v="3"/>
    <x v="1"/>
  </r>
  <r>
    <x v="370"/>
    <x v="4"/>
    <x v="9"/>
    <x v="1"/>
    <x v="2"/>
    <x v="4"/>
    <x v="0"/>
    <x v="9"/>
    <x v="0"/>
    <x v="1"/>
  </r>
  <r>
    <x v="371"/>
    <x v="29"/>
    <x v="1"/>
    <x v="0"/>
    <x v="3"/>
    <x v="8"/>
    <x v="0"/>
    <x v="1"/>
    <x v="4"/>
    <x v="0"/>
  </r>
  <r>
    <x v="372"/>
    <x v="59"/>
    <x v="8"/>
    <x v="2"/>
    <x v="3"/>
    <x v="6"/>
    <x v="1"/>
    <x v="8"/>
    <x v="2"/>
    <x v="0"/>
  </r>
  <r>
    <x v="373"/>
    <x v="78"/>
    <x v="8"/>
    <x v="2"/>
    <x v="1"/>
    <x v="3"/>
    <x v="1"/>
    <x v="8"/>
    <x v="4"/>
    <x v="0"/>
  </r>
  <r>
    <x v="374"/>
    <x v="30"/>
    <x v="1"/>
    <x v="1"/>
    <x v="0"/>
    <x v="1"/>
    <x v="0"/>
    <x v="1"/>
    <x v="4"/>
    <x v="0"/>
  </r>
  <r>
    <x v="375"/>
    <x v="27"/>
    <x v="8"/>
    <x v="3"/>
    <x v="3"/>
    <x v="4"/>
    <x v="0"/>
    <x v="8"/>
    <x v="0"/>
    <x v="0"/>
  </r>
  <r>
    <x v="376"/>
    <x v="0"/>
    <x v="6"/>
    <x v="3"/>
    <x v="3"/>
    <x v="0"/>
    <x v="0"/>
    <x v="6"/>
    <x v="0"/>
    <x v="0"/>
  </r>
  <r>
    <x v="377"/>
    <x v="82"/>
    <x v="9"/>
    <x v="2"/>
    <x v="3"/>
    <x v="1"/>
    <x v="1"/>
    <x v="9"/>
    <x v="4"/>
    <x v="1"/>
  </r>
  <r>
    <x v="378"/>
    <x v="21"/>
    <x v="0"/>
    <x v="3"/>
    <x v="0"/>
    <x v="5"/>
    <x v="0"/>
    <x v="0"/>
    <x v="1"/>
    <x v="0"/>
  </r>
  <r>
    <x v="379"/>
    <x v="30"/>
    <x v="0"/>
    <x v="1"/>
    <x v="1"/>
    <x v="1"/>
    <x v="0"/>
    <x v="0"/>
    <x v="4"/>
    <x v="0"/>
  </r>
  <r>
    <x v="380"/>
    <x v="12"/>
    <x v="3"/>
    <x v="4"/>
    <x v="3"/>
    <x v="9"/>
    <x v="1"/>
    <x v="3"/>
    <x v="2"/>
    <x v="1"/>
  </r>
  <r>
    <x v="381"/>
    <x v="20"/>
    <x v="3"/>
    <x v="2"/>
    <x v="1"/>
    <x v="10"/>
    <x v="0"/>
    <x v="3"/>
    <x v="0"/>
    <x v="1"/>
  </r>
  <r>
    <x v="382"/>
    <x v="37"/>
    <x v="2"/>
    <x v="1"/>
    <x v="2"/>
    <x v="14"/>
    <x v="1"/>
    <x v="2"/>
    <x v="4"/>
    <x v="1"/>
  </r>
  <r>
    <x v="383"/>
    <x v="80"/>
    <x v="4"/>
    <x v="1"/>
    <x v="1"/>
    <x v="0"/>
    <x v="1"/>
    <x v="4"/>
    <x v="0"/>
    <x v="1"/>
  </r>
  <r>
    <x v="384"/>
    <x v="42"/>
    <x v="6"/>
    <x v="3"/>
    <x v="2"/>
    <x v="11"/>
    <x v="1"/>
    <x v="6"/>
    <x v="3"/>
    <x v="0"/>
  </r>
  <r>
    <x v="385"/>
    <x v="20"/>
    <x v="3"/>
    <x v="0"/>
    <x v="0"/>
    <x v="10"/>
    <x v="0"/>
    <x v="3"/>
    <x v="0"/>
    <x v="1"/>
  </r>
  <r>
    <x v="386"/>
    <x v="28"/>
    <x v="3"/>
    <x v="4"/>
    <x v="0"/>
    <x v="4"/>
    <x v="0"/>
    <x v="3"/>
    <x v="1"/>
    <x v="1"/>
  </r>
  <r>
    <x v="387"/>
    <x v="33"/>
    <x v="9"/>
    <x v="1"/>
    <x v="1"/>
    <x v="3"/>
    <x v="0"/>
    <x v="9"/>
    <x v="1"/>
    <x v="1"/>
  </r>
  <r>
    <x v="388"/>
    <x v="63"/>
    <x v="3"/>
    <x v="2"/>
    <x v="3"/>
    <x v="3"/>
    <x v="0"/>
    <x v="3"/>
    <x v="3"/>
    <x v="1"/>
  </r>
  <r>
    <x v="389"/>
    <x v="81"/>
    <x v="9"/>
    <x v="0"/>
    <x v="0"/>
    <x v="3"/>
    <x v="0"/>
    <x v="9"/>
    <x v="1"/>
    <x v="1"/>
  </r>
  <r>
    <x v="390"/>
    <x v="3"/>
    <x v="3"/>
    <x v="0"/>
    <x v="1"/>
    <x v="3"/>
    <x v="1"/>
    <x v="3"/>
    <x v="2"/>
    <x v="1"/>
  </r>
  <r>
    <x v="391"/>
    <x v="48"/>
    <x v="0"/>
    <x v="4"/>
    <x v="3"/>
    <x v="14"/>
    <x v="1"/>
    <x v="0"/>
    <x v="4"/>
    <x v="0"/>
  </r>
  <r>
    <x v="392"/>
    <x v="42"/>
    <x v="2"/>
    <x v="4"/>
    <x v="1"/>
    <x v="11"/>
    <x v="1"/>
    <x v="2"/>
    <x v="3"/>
    <x v="1"/>
  </r>
  <r>
    <x v="393"/>
    <x v="14"/>
    <x v="9"/>
    <x v="4"/>
    <x v="0"/>
    <x v="11"/>
    <x v="1"/>
    <x v="9"/>
    <x v="1"/>
    <x v="1"/>
  </r>
  <r>
    <x v="394"/>
    <x v="81"/>
    <x v="5"/>
    <x v="4"/>
    <x v="3"/>
    <x v="3"/>
    <x v="0"/>
    <x v="5"/>
    <x v="1"/>
    <x v="0"/>
  </r>
  <r>
    <x v="395"/>
    <x v="51"/>
    <x v="7"/>
    <x v="3"/>
    <x v="1"/>
    <x v="12"/>
    <x v="0"/>
    <x v="7"/>
    <x v="1"/>
    <x v="1"/>
  </r>
  <r>
    <x v="396"/>
    <x v="11"/>
    <x v="5"/>
    <x v="0"/>
    <x v="0"/>
    <x v="2"/>
    <x v="0"/>
    <x v="5"/>
    <x v="2"/>
    <x v="0"/>
  </r>
  <r>
    <x v="397"/>
    <x v="33"/>
    <x v="5"/>
    <x v="1"/>
    <x v="1"/>
    <x v="3"/>
    <x v="0"/>
    <x v="5"/>
    <x v="1"/>
    <x v="0"/>
  </r>
  <r>
    <x v="398"/>
    <x v="84"/>
    <x v="3"/>
    <x v="0"/>
    <x v="3"/>
    <x v="5"/>
    <x v="0"/>
    <x v="3"/>
    <x v="1"/>
    <x v="1"/>
  </r>
  <r>
    <x v="399"/>
    <x v="60"/>
    <x v="0"/>
    <x v="1"/>
    <x v="3"/>
    <x v="10"/>
    <x v="0"/>
    <x v="0"/>
    <x v="2"/>
    <x v="0"/>
  </r>
  <r>
    <x v="400"/>
    <x v="26"/>
    <x v="1"/>
    <x v="3"/>
    <x v="0"/>
    <x v="6"/>
    <x v="1"/>
    <x v="1"/>
    <x v="0"/>
    <x v="0"/>
  </r>
  <r>
    <x v="401"/>
    <x v="64"/>
    <x v="4"/>
    <x v="1"/>
    <x v="2"/>
    <x v="2"/>
    <x v="1"/>
    <x v="4"/>
    <x v="4"/>
    <x v="1"/>
  </r>
  <r>
    <x v="402"/>
    <x v="19"/>
    <x v="6"/>
    <x v="4"/>
    <x v="0"/>
    <x v="2"/>
    <x v="1"/>
    <x v="6"/>
    <x v="0"/>
    <x v="0"/>
  </r>
  <r>
    <x v="403"/>
    <x v="56"/>
    <x v="6"/>
    <x v="0"/>
    <x v="2"/>
    <x v="4"/>
    <x v="0"/>
    <x v="6"/>
    <x v="4"/>
    <x v="0"/>
  </r>
  <r>
    <x v="404"/>
    <x v="42"/>
    <x v="6"/>
    <x v="4"/>
    <x v="1"/>
    <x v="11"/>
    <x v="1"/>
    <x v="6"/>
    <x v="3"/>
    <x v="0"/>
  </r>
  <r>
    <x v="405"/>
    <x v="56"/>
    <x v="0"/>
    <x v="1"/>
    <x v="1"/>
    <x v="4"/>
    <x v="0"/>
    <x v="0"/>
    <x v="4"/>
    <x v="0"/>
  </r>
  <r>
    <x v="406"/>
    <x v="71"/>
    <x v="8"/>
    <x v="2"/>
    <x v="0"/>
    <x v="4"/>
    <x v="1"/>
    <x v="8"/>
    <x v="2"/>
    <x v="0"/>
  </r>
  <r>
    <x v="407"/>
    <x v="58"/>
    <x v="7"/>
    <x v="0"/>
    <x v="2"/>
    <x v="8"/>
    <x v="1"/>
    <x v="7"/>
    <x v="2"/>
    <x v="1"/>
  </r>
  <r>
    <x v="408"/>
    <x v="17"/>
    <x v="4"/>
    <x v="2"/>
    <x v="0"/>
    <x v="12"/>
    <x v="0"/>
    <x v="4"/>
    <x v="2"/>
    <x v="1"/>
  </r>
  <r>
    <x v="409"/>
    <x v="46"/>
    <x v="5"/>
    <x v="0"/>
    <x v="0"/>
    <x v="6"/>
    <x v="1"/>
    <x v="5"/>
    <x v="2"/>
    <x v="0"/>
  </r>
  <r>
    <x v="410"/>
    <x v="38"/>
    <x v="9"/>
    <x v="1"/>
    <x v="2"/>
    <x v="5"/>
    <x v="1"/>
    <x v="9"/>
    <x v="0"/>
    <x v="1"/>
  </r>
  <r>
    <x v="411"/>
    <x v="84"/>
    <x v="2"/>
    <x v="1"/>
    <x v="1"/>
    <x v="5"/>
    <x v="0"/>
    <x v="2"/>
    <x v="1"/>
    <x v="1"/>
  </r>
  <r>
    <x v="412"/>
    <x v="23"/>
    <x v="4"/>
    <x v="4"/>
    <x v="2"/>
    <x v="8"/>
    <x v="0"/>
    <x v="4"/>
    <x v="4"/>
    <x v="1"/>
  </r>
  <r>
    <x v="413"/>
    <x v="34"/>
    <x v="0"/>
    <x v="4"/>
    <x v="3"/>
    <x v="2"/>
    <x v="1"/>
    <x v="0"/>
    <x v="2"/>
    <x v="0"/>
  </r>
  <r>
    <x v="414"/>
    <x v="61"/>
    <x v="7"/>
    <x v="0"/>
    <x v="2"/>
    <x v="0"/>
    <x v="0"/>
    <x v="7"/>
    <x v="1"/>
    <x v="1"/>
  </r>
  <r>
    <x v="415"/>
    <x v="8"/>
    <x v="8"/>
    <x v="0"/>
    <x v="1"/>
    <x v="2"/>
    <x v="0"/>
    <x v="8"/>
    <x v="1"/>
    <x v="0"/>
  </r>
  <r>
    <x v="416"/>
    <x v="52"/>
    <x v="4"/>
    <x v="2"/>
    <x v="3"/>
    <x v="10"/>
    <x v="0"/>
    <x v="4"/>
    <x v="0"/>
    <x v="1"/>
  </r>
  <r>
    <x v="417"/>
    <x v="83"/>
    <x v="6"/>
    <x v="1"/>
    <x v="3"/>
    <x v="8"/>
    <x v="0"/>
    <x v="6"/>
    <x v="0"/>
    <x v="0"/>
  </r>
  <r>
    <x v="418"/>
    <x v="11"/>
    <x v="4"/>
    <x v="3"/>
    <x v="0"/>
    <x v="2"/>
    <x v="0"/>
    <x v="4"/>
    <x v="2"/>
    <x v="1"/>
  </r>
  <r>
    <x v="419"/>
    <x v="12"/>
    <x v="3"/>
    <x v="0"/>
    <x v="1"/>
    <x v="9"/>
    <x v="1"/>
    <x v="3"/>
    <x v="2"/>
    <x v="1"/>
  </r>
  <r>
    <x v="420"/>
    <x v="10"/>
    <x v="3"/>
    <x v="1"/>
    <x v="3"/>
    <x v="8"/>
    <x v="0"/>
    <x v="3"/>
    <x v="4"/>
    <x v="1"/>
  </r>
  <r>
    <x v="421"/>
    <x v="13"/>
    <x v="5"/>
    <x v="3"/>
    <x v="0"/>
    <x v="10"/>
    <x v="1"/>
    <x v="5"/>
    <x v="3"/>
    <x v="0"/>
  </r>
  <r>
    <x v="422"/>
    <x v="58"/>
    <x v="4"/>
    <x v="0"/>
    <x v="3"/>
    <x v="8"/>
    <x v="1"/>
    <x v="4"/>
    <x v="2"/>
    <x v="1"/>
  </r>
  <r>
    <x v="423"/>
    <x v="29"/>
    <x v="6"/>
    <x v="2"/>
    <x v="0"/>
    <x v="8"/>
    <x v="0"/>
    <x v="6"/>
    <x v="4"/>
    <x v="0"/>
  </r>
  <r>
    <x v="424"/>
    <x v="91"/>
    <x v="3"/>
    <x v="1"/>
    <x v="1"/>
    <x v="1"/>
    <x v="0"/>
    <x v="3"/>
    <x v="1"/>
    <x v="1"/>
  </r>
  <r>
    <x v="425"/>
    <x v="11"/>
    <x v="7"/>
    <x v="2"/>
    <x v="3"/>
    <x v="2"/>
    <x v="0"/>
    <x v="7"/>
    <x v="2"/>
    <x v="1"/>
  </r>
  <r>
    <x v="426"/>
    <x v="2"/>
    <x v="3"/>
    <x v="1"/>
    <x v="0"/>
    <x v="2"/>
    <x v="0"/>
    <x v="3"/>
    <x v="1"/>
    <x v="1"/>
  </r>
  <r>
    <x v="427"/>
    <x v="91"/>
    <x v="3"/>
    <x v="2"/>
    <x v="3"/>
    <x v="1"/>
    <x v="0"/>
    <x v="3"/>
    <x v="1"/>
    <x v="1"/>
  </r>
  <r>
    <x v="428"/>
    <x v="17"/>
    <x v="6"/>
    <x v="2"/>
    <x v="2"/>
    <x v="12"/>
    <x v="0"/>
    <x v="6"/>
    <x v="2"/>
    <x v="0"/>
  </r>
  <r>
    <x v="429"/>
    <x v="17"/>
    <x v="2"/>
    <x v="4"/>
    <x v="3"/>
    <x v="12"/>
    <x v="0"/>
    <x v="2"/>
    <x v="2"/>
    <x v="1"/>
  </r>
  <r>
    <x v="430"/>
    <x v="14"/>
    <x v="3"/>
    <x v="4"/>
    <x v="2"/>
    <x v="11"/>
    <x v="1"/>
    <x v="3"/>
    <x v="1"/>
    <x v="1"/>
  </r>
  <r>
    <x v="431"/>
    <x v="59"/>
    <x v="5"/>
    <x v="0"/>
    <x v="2"/>
    <x v="6"/>
    <x v="1"/>
    <x v="5"/>
    <x v="2"/>
    <x v="0"/>
  </r>
  <r>
    <x v="432"/>
    <x v="88"/>
    <x v="6"/>
    <x v="0"/>
    <x v="1"/>
    <x v="9"/>
    <x v="0"/>
    <x v="6"/>
    <x v="4"/>
    <x v="0"/>
  </r>
  <r>
    <x v="433"/>
    <x v="40"/>
    <x v="5"/>
    <x v="0"/>
    <x v="1"/>
    <x v="10"/>
    <x v="0"/>
    <x v="5"/>
    <x v="0"/>
    <x v="0"/>
  </r>
  <r>
    <x v="434"/>
    <x v="8"/>
    <x v="8"/>
    <x v="0"/>
    <x v="0"/>
    <x v="2"/>
    <x v="0"/>
    <x v="8"/>
    <x v="1"/>
    <x v="0"/>
  </r>
  <r>
    <x v="435"/>
    <x v="57"/>
    <x v="7"/>
    <x v="4"/>
    <x v="2"/>
    <x v="8"/>
    <x v="0"/>
    <x v="7"/>
    <x v="2"/>
    <x v="1"/>
  </r>
  <r>
    <x v="436"/>
    <x v="81"/>
    <x v="3"/>
    <x v="4"/>
    <x v="2"/>
    <x v="3"/>
    <x v="0"/>
    <x v="3"/>
    <x v="1"/>
    <x v="1"/>
  </r>
  <r>
    <x v="437"/>
    <x v="92"/>
    <x v="0"/>
    <x v="3"/>
    <x v="1"/>
    <x v="12"/>
    <x v="0"/>
    <x v="0"/>
    <x v="0"/>
    <x v="0"/>
  </r>
  <r>
    <x v="438"/>
    <x v="16"/>
    <x v="7"/>
    <x v="1"/>
    <x v="3"/>
    <x v="2"/>
    <x v="1"/>
    <x v="7"/>
    <x v="3"/>
    <x v="1"/>
  </r>
  <r>
    <x v="439"/>
    <x v="40"/>
    <x v="9"/>
    <x v="1"/>
    <x v="0"/>
    <x v="10"/>
    <x v="0"/>
    <x v="9"/>
    <x v="0"/>
    <x v="1"/>
  </r>
  <r>
    <x v="440"/>
    <x v="73"/>
    <x v="3"/>
    <x v="4"/>
    <x v="2"/>
    <x v="8"/>
    <x v="0"/>
    <x v="3"/>
    <x v="1"/>
    <x v="1"/>
  </r>
  <r>
    <x v="441"/>
    <x v="96"/>
    <x v="7"/>
    <x v="2"/>
    <x v="0"/>
    <x v="4"/>
    <x v="1"/>
    <x v="7"/>
    <x v="4"/>
    <x v="1"/>
  </r>
  <r>
    <x v="442"/>
    <x v="29"/>
    <x v="6"/>
    <x v="1"/>
    <x v="2"/>
    <x v="8"/>
    <x v="0"/>
    <x v="6"/>
    <x v="4"/>
    <x v="0"/>
  </r>
  <r>
    <x v="443"/>
    <x v="56"/>
    <x v="9"/>
    <x v="1"/>
    <x v="3"/>
    <x v="4"/>
    <x v="0"/>
    <x v="9"/>
    <x v="4"/>
    <x v="1"/>
  </r>
  <r>
    <x v="444"/>
    <x v="35"/>
    <x v="6"/>
    <x v="0"/>
    <x v="2"/>
    <x v="12"/>
    <x v="0"/>
    <x v="6"/>
    <x v="4"/>
    <x v="0"/>
  </r>
  <r>
    <x v="445"/>
    <x v="16"/>
    <x v="0"/>
    <x v="0"/>
    <x v="3"/>
    <x v="2"/>
    <x v="1"/>
    <x v="0"/>
    <x v="3"/>
    <x v="0"/>
  </r>
  <r>
    <x v="446"/>
    <x v="50"/>
    <x v="2"/>
    <x v="0"/>
    <x v="0"/>
    <x v="3"/>
    <x v="0"/>
    <x v="2"/>
    <x v="0"/>
    <x v="1"/>
  </r>
  <r>
    <x v="447"/>
    <x v="78"/>
    <x v="8"/>
    <x v="0"/>
    <x v="2"/>
    <x v="3"/>
    <x v="1"/>
    <x v="8"/>
    <x v="4"/>
    <x v="0"/>
  </r>
  <r>
    <x v="448"/>
    <x v="3"/>
    <x v="3"/>
    <x v="0"/>
    <x v="3"/>
    <x v="3"/>
    <x v="1"/>
    <x v="3"/>
    <x v="2"/>
    <x v="1"/>
  </r>
  <r>
    <x v="449"/>
    <x v="63"/>
    <x v="5"/>
    <x v="4"/>
    <x v="2"/>
    <x v="3"/>
    <x v="0"/>
    <x v="5"/>
    <x v="3"/>
    <x v="0"/>
  </r>
  <r>
    <x v="450"/>
    <x v="43"/>
    <x v="6"/>
    <x v="2"/>
    <x v="3"/>
    <x v="7"/>
    <x v="0"/>
    <x v="6"/>
    <x v="4"/>
    <x v="0"/>
  </r>
  <r>
    <x v="451"/>
    <x v="11"/>
    <x v="2"/>
    <x v="3"/>
    <x v="3"/>
    <x v="2"/>
    <x v="0"/>
    <x v="2"/>
    <x v="2"/>
    <x v="1"/>
  </r>
  <r>
    <x v="452"/>
    <x v="64"/>
    <x v="2"/>
    <x v="1"/>
    <x v="0"/>
    <x v="2"/>
    <x v="1"/>
    <x v="2"/>
    <x v="4"/>
    <x v="1"/>
  </r>
  <r>
    <x v="453"/>
    <x v="24"/>
    <x v="3"/>
    <x v="0"/>
    <x v="3"/>
    <x v="13"/>
    <x v="0"/>
    <x v="3"/>
    <x v="2"/>
    <x v="1"/>
  </r>
  <r>
    <x v="454"/>
    <x v="30"/>
    <x v="1"/>
    <x v="4"/>
    <x v="0"/>
    <x v="1"/>
    <x v="0"/>
    <x v="1"/>
    <x v="4"/>
    <x v="0"/>
  </r>
  <r>
    <x v="455"/>
    <x v="25"/>
    <x v="7"/>
    <x v="4"/>
    <x v="0"/>
    <x v="3"/>
    <x v="0"/>
    <x v="7"/>
    <x v="2"/>
    <x v="1"/>
  </r>
  <r>
    <x v="456"/>
    <x v="72"/>
    <x v="0"/>
    <x v="3"/>
    <x v="1"/>
    <x v="0"/>
    <x v="0"/>
    <x v="0"/>
    <x v="2"/>
    <x v="0"/>
  </r>
  <r>
    <x v="457"/>
    <x v="73"/>
    <x v="6"/>
    <x v="1"/>
    <x v="1"/>
    <x v="8"/>
    <x v="0"/>
    <x v="6"/>
    <x v="1"/>
    <x v="0"/>
  </r>
  <r>
    <x v="458"/>
    <x v="68"/>
    <x v="9"/>
    <x v="3"/>
    <x v="0"/>
    <x v="5"/>
    <x v="0"/>
    <x v="9"/>
    <x v="1"/>
    <x v="1"/>
  </r>
  <r>
    <x v="459"/>
    <x v="73"/>
    <x v="8"/>
    <x v="1"/>
    <x v="0"/>
    <x v="8"/>
    <x v="0"/>
    <x v="8"/>
    <x v="1"/>
    <x v="0"/>
  </r>
  <r>
    <x v="460"/>
    <x v="31"/>
    <x v="2"/>
    <x v="0"/>
    <x v="3"/>
    <x v="9"/>
    <x v="0"/>
    <x v="2"/>
    <x v="2"/>
    <x v="1"/>
  </r>
  <r>
    <x v="461"/>
    <x v="6"/>
    <x v="7"/>
    <x v="3"/>
    <x v="0"/>
    <x v="6"/>
    <x v="1"/>
    <x v="7"/>
    <x v="2"/>
    <x v="1"/>
  </r>
  <r>
    <x v="462"/>
    <x v="85"/>
    <x v="7"/>
    <x v="2"/>
    <x v="2"/>
    <x v="10"/>
    <x v="1"/>
    <x v="7"/>
    <x v="4"/>
    <x v="1"/>
  </r>
  <r>
    <x v="463"/>
    <x v="66"/>
    <x v="7"/>
    <x v="1"/>
    <x v="2"/>
    <x v="0"/>
    <x v="0"/>
    <x v="7"/>
    <x v="2"/>
    <x v="1"/>
  </r>
  <r>
    <x v="464"/>
    <x v="45"/>
    <x v="2"/>
    <x v="3"/>
    <x v="1"/>
    <x v="5"/>
    <x v="1"/>
    <x v="2"/>
    <x v="1"/>
    <x v="1"/>
  </r>
  <r>
    <x v="465"/>
    <x v="82"/>
    <x v="5"/>
    <x v="4"/>
    <x v="1"/>
    <x v="1"/>
    <x v="1"/>
    <x v="5"/>
    <x v="4"/>
    <x v="0"/>
  </r>
  <r>
    <x v="466"/>
    <x v="87"/>
    <x v="2"/>
    <x v="1"/>
    <x v="2"/>
    <x v="14"/>
    <x v="0"/>
    <x v="2"/>
    <x v="1"/>
    <x v="1"/>
  </r>
  <r>
    <x v="467"/>
    <x v="30"/>
    <x v="3"/>
    <x v="1"/>
    <x v="3"/>
    <x v="1"/>
    <x v="0"/>
    <x v="3"/>
    <x v="4"/>
    <x v="1"/>
  </r>
  <r>
    <x v="468"/>
    <x v="16"/>
    <x v="1"/>
    <x v="0"/>
    <x v="0"/>
    <x v="2"/>
    <x v="1"/>
    <x v="1"/>
    <x v="3"/>
    <x v="0"/>
  </r>
  <r>
    <x v="469"/>
    <x v="83"/>
    <x v="8"/>
    <x v="0"/>
    <x v="0"/>
    <x v="8"/>
    <x v="0"/>
    <x v="8"/>
    <x v="0"/>
    <x v="0"/>
  </r>
  <r>
    <x v="470"/>
    <x v="54"/>
    <x v="6"/>
    <x v="0"/>
    <x v="0"/>
    <x v="10"/>
    <x v="0"/>
    <x v="6"/>
    <x v="4"/>
    <x v="0"/>
  </r>
  <r>
    <x v="471"/>
    <x v="66"/>
    <x v="5"/>
    <x v="1"/>
    <x v="2"/>
    <x v="0"/>
    <x v="0"/>
    <x v="5"/>
    <x v="2"/>
    <x v="0"/>
  </r>
  <r>
    <x v="472"/>
    <x v="21"/>
    <x v="6"/>
    <x v="3"/>
    <x v="2"/>
    <x v="5"/>
    <x v="0"/>
    <x v="6"/>
    <x v="1"/>
    <x v="0"/>
  </r>
  <r>
    <x v="473"/>
    <x v="0"/>
    <x v="1"/>
    <x v="2"/>
    <x v="0"/>
    <x v="0"/>
    <x v="0"/>
    <x v="1"/>
    <x v="0"/>
    <x v="0"/>
  </r>
  <r>
    <x v="474"/>
    <x v="60"/>
    <x v="6"/>
    <x v="2"/>
    <x v="1"/>
    <x v="10"/>
    <x v="0"/>
    <x v="6"/>
    <x v="2"/>
    <x v="0"/>
  </r>
  <r>
    <x v="475"/>
    <x v="55"/>
    <x v="4"/>
    <x v="2"/>
    <x v="2"/>
    <x v="0"/>
    <x v="1"/>
    <x v="4"/>
    <x v="1"/>
    <x v="1"/>
  </r>
  <r>
    <x v="476"/>
    <x v="31"/>
    <x v="2"/>
    <x v="0"/>
    <x v="3"/>
    <x v="9"/>
    <x v="0"/>
    <x v="2"/>
    <x v="2"/>
    <x v="1"/>
  </r>
  <r>
    <x v="477"/>
    <x v="7"/>
    <x v="5"/>
    <x v="3"/>
    <x v="3"/>
    <x v="7"/>
    <x v="1"/>
    <x v="5"/>
    <x v="3"/>
    <x v="0"/>
  </r>
  <r>
    <x v="478"/>
    <x v="95"/>
    <x v="6"/>
    <x v="2"/>
    <x v="1"/>
    <x v="0"/>
    <x v="0"/>
    <x v="6"/>
    <x v="3"/>
    <x v="0"/>
  </r>
  <r>
    <x v="479"/>
    <x v="0"/>
    <x v="1"/>
    <x v="1"/>
    <x v="3"/>
    <x v="0"/>
    <x v="0"/>
    <x v="1"/>
    <x v="0"/>
    <x v="0"/>
  </r>
  <r>
    <x v="480"/>
    <x v="93"/>
    <x v="4"/>
    <x v="4"/>
    <x v="3"/>
    <x v="10"/>
    <x v="1"/>
    <x v="4"/>
    <x v="0"/>
    <x v="1"/>
  </r>
  <r>
    <x v="481"/>
    <x v="78"/>
    <x v="1"/>
    <x v="0"/>
    <x v="3"/>
    <x v="3"/>
    <x v="1"/>
    <x v="1"/>
    <x v="4"/>
    <x v="0"/>
  </r>
  <r>
    <x v="482"/>
    <x v="17"/>
    <x v="0"/>
    <x v="2"/>
    <x v="0"/>
    <x v="12"/>
    <x v="0"/>
    <x v="0"/>
    <x v="2"/>
    <x v="0"/>
  </r>
  <r>
    <x v="483"/>
    <x v="60"/>
    <x v="9"/>
    <x v="1"/>
    <x v="3"/>
    <x v="10"/>
    <x v="0"/>
    <x v="9"/>
    <x v="2"/>
    <x v="1"/>
  </r>
  <r>
    <x v="484"/>
    <x v="40"/>
    <x v="3"/>
    <x v="1"/>
    <x v="0"/>
    <x v="10"/>
    <x v="0"/>
    <x v="3"/>
    <x v="0"/>
    <x v="1"/>
  </r>
  <r>
    <x v="485"/>
    <x v="38"/>
    <x v="0"/>
    <x v="4"/>
    <x v="1"/>
    <x v="5"/>
    <x v="1"/>
    <x v="0"/>
    <x v="0"/>
    <x v="0"/>
  </r>
  <r>
    <x v="486"/>
    <x v="80"/>
    <x v="8"/>
    <x v="4"/>
    <x v="3"/>
    <x v="0"/>
    <x v="1"/>
    <x v="8"/>
    <x v="0"/>
    <x v="0"/>
  </r>
  <r>
    <x v="487"/>
    <x v="70"/>
    <x v="5"/>
    <x v="3"/>
    <x v="1"/>
    <x v="2"/>
    <x v="0"/>
    <x v="5"/>
    <x v="3"/>
    <x v="0"/>
  </r>
  <r>
    <x v="488"/>
    <x v="18"/>
    <x v="3"/>
    <x v="2"/>
    <x v="0"/>
    <x v="4"/>
    <x v="1"/>
    <x v="3"/>
    <x v="4"/>
    <x v="1"/>
  </r>
  <r>
    <x v="489"/>
    <x v="81"/>
    <x v="6"/>
    <x v="4"/>
    <x v="2"/>
    <x v="3"/>
    <x v="0"/>
    <x v="6"/>
    <x v="1"/>
    <x v="0"/>
  </r>
  <r>
    <x v="490"/>
    <x v="74"/>
    <x v="0"/>
    <x v="4"/>
    <x v="2"/>
    <x v="14"/>
    <x v="1"/>
    <x v="0"/>
    <x v="0"/>
    <x v="0"/>
  </r>
  <r>
    <x v="491"/>
    <x v="23"/>
    <x v="3"/>
    <x v="1"/>
    <x v="1"/>
    <x v="8"/>
    <x v="0"/>
    <x v="3"/>
    <x v="4"/>
    <x v="1"/>
  </r>
  <r>
    <x v="492"/>
    <x v="26"/>
    <x v="9"/>
    <x v="4"/>
    <x v="2"/>
    <x v="6"/>
    <x v="1"/>
    <x v="9"/>
    <x v="0"/>
    <x v="1"/>
  </r>
  <r>
    <x v="493"/>
    <x v="26"/>
    <x v="5"/>
    <x v="3"/>
    <x v="2"/>
    <x v="6"/>
    <x v="1"/>
    <x v="5"/>
    <x v="0"/>
    <x v="0"/>
  </r>
  <r>
    <x v="494"/>
    <x v="76"/>
    <x v="2"/>
    <x v="3"/>
    <x v="2"/>
    <x v="9"/>
    <x v="1"/>
    <x v="2"/>
    <x v="3"/>
    <x v="1"/>
  </r>
  <r>
    <x v="495"/>
    <x v="48"/>
    <x v="7"/>
    <x v="2"/>
    <x v="1"/>
    <x v="14"/>
    <x v="1"/>
    <x v="7"/>
    <x v="4"/>
    <x v="1"/>
  </r>
  <r>
    <x v="496"/>
    <x v="11"/>
    <x v="4"/>
    <x v="0"/>
    <x v="1"/>
    <x v="2"/>
    <x v="0"/>
    <x v="4"/>
    <x v="2"/>
    <x v="1"/>
  </r>
  <r>
    <x v="497"/>
    <x v="35"/>
    <x v="7"/>
    <x v="3"/>
    <x v="2"/>
    <x v="12"/>
    <x v="0"/>
    <x v="7"/>
    <x v="4"/>
    <x v="1"/>
  </r>
  <r>
    <x v="498"/>
    <x v="97"/>
    <x v="2"/>
    <x v="1"/>
    <x v="0"/>
    <x v="8"/>
    <x v="0"/>
    <x v="2"/>
    <x v="2"/>
    <x v="1"/>
  </r>
  <r>
    <x v="499"/>
    <x v="33"/>
    <x v="9"/>
    <x v="1"/>
    <x v="3"/>
    <x v="3"/>
    <x v="0"/>
    <x v="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0FB6BB-2E13-4623-87D7-1A8424E8D169}" name="PivotTable2"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0">
  <location ref="G106:H111" firstHeaderRow="1" firstDataRow="1" firstDataCol="1"/>
  <pivotFields count="8">
    <pivotField showAll="0"/>
    <pivotField showAll="0"/>
    <pivotField showAll="0"/>
    <pivotField dataField="1" showAll="0">
      <items count="6">
        <item x="4"/>
        <item x="1"/>
        <item x="0"/>
        <item x="2"/>
        <item x="3"/>
        <item t="default"/>
      </items>
    </pivotField>
    <pivotField axis="axisRow" showAll="0">
      <items count="5">
        <item x="1"/>
        <item x="3"/>
        <item x="0"/>
        <item x="2"/>
        <item t="default"/>
      </items>
    </pivotField>
    <pivotField showAll="0"/>
    <pivotField showAll="0"/>
    <pivotField showAll="0"/>
  </pivotFields>
  <rowFields count="1">
    <field x="4"/>
  </rowFields>
  <rowItems count="5">
    <i>
      <x/>
    </i>
    <i>
      <x v="1"/>
    </i>
    <i>
      <x v="2"/>
    </i>
    <i>
      <x v="3"/>
    </i>
    <i t="grand">
      <x/>
    </i>
  </rowItems>
  <colItems count="1">
    <i/>
  </colItems>
  <dataFields count="1">
    <dataField name="Average of Average GPA" fld="3" subtotal="average" baseField="4"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04EB2E-4ECE-4FA7-98B6-DBB4436EB078}" name="PivotTable1"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5">
  <location ref="N103:O119" firstHeaderRow="1" firstDataRow="1" firstDataCol="1" rowPageCount="1" colPageCount="1"/>
  <pivotFields count="8">
    <pivotField showAll="0"/>
    <pivotField showAll="0"/>
    <pivotField showAll="0"/>
    <pivotField dataField="1" showAll="0">
      <items count="6">
        <item x="4"/>
        <item x="1"/>
        <item x="0"/>
        <item x="2"/>
        <item x="3"/>
        <item t="default"/>
      </items>
    </pivotField>
    <pivotField showAll="0">
      <items count="5">
        <item x="1"/>
        <item x="3"/>
        <item x="0"/>
        <item x="2"/>
        <item t="default"/>
      </items>
    </pivotField>
    <pivotField axis="axisRow" showAll="0" sortType="descending">
      <items count="16">
        <item x="3"/>
        <item x="10"/>
        <item x="2"/>
        <item x="0"/>
        <item x="12"/>
        <item x="7"/>
        <item x="9"/>
        <item x="11"/>
        <item x="13"/>
        <item x="5"/>
        <item x="8"/>
        <item x="14"/>
        <item x="6"/>
        <item x="4"/>
        <item x="1"/>
        <item t="default"/>
      </items>
      <autoSortScope>
        <pivotArea dataOnly="0" outline="0" fieldPosition="0">
          <references count="1">
            <reference field="4294967294" count="1" selected="0">
              <x v="0"/>
            </reference>
          </references>
        </pivotArea>
      </autoSortScope>
    </pivotField>
    <pivotField showAll="0"/>
    <pivotField axis="axisPage" showAll="0">
      <items count="11">
        <item x="2"/>
        <item x="0"/>
        <item x="7"/>
        <item x="1"/>
        <item x="4"/>
        <item x="5"/>
        <item x="6"/>
        <item x="3"/>
        <item x="8"/>
        <item x="9"/>
        <item t="default"/>
      </items>
    </pivotField>
  </pivotFields>
  <rowFields count="1">
    <field x="5"/>
  </rowFields>
  <rowItems count="16">
    <i>
      <x/>
    </i>
    <i>
      <x v="11"/>
    </i>
    <i>
      <x v="9"/>
    </i>
    <i>
      <x v="1"/>
    </i>
    <i>
      <x v="13"/>
    </i>
    <i>
      <x v="2"/>
    </i>
    <i>
      <x v="8"/>
    </i>
    <i>
      <x v="3"/>
    </i>
    <i>
      <x v="10"/>
    </i>
    <i>
      <x v="4"/>
    </i>
    <i>
      <x v="12"/>
    </i>
    <i>
      <x v="5"/>
    </i>
    <i>
      <x v="14"/>
    </i>
    <i>
      <x v="6"/>
    </i>
    <i>
      <x v="7"/>
    </i>
    <i t="grand">
      <x/>
    </i>
  </rowItems>
  <colItems count="1">
    <i/>
  </colItems>
  <pageFields count="1">
    <pageField fld="7" hier="-1"/>
  </pageFields>
  <dataFields count="1">
    <dataField name="Max of Average GPA" fld="3" subtotal="max" baseField="5" baseItem="0"/>
  </dataFields>
  <conditionalFormats count="2">
    <conditionalFormat type="all" priority="1">
      <pivotAreas count="1">
        <pivotArea fieldPosition="0">
          <references count="1">
            <reference field="5" count="0"/>
          </references>
        </pivotArea>
      </pivotAreas>
    </conditionalFormat>
    <conditionalFormat type="all" priority="2">
      <pivotAreas count="1">
        <pivotArea fieldPosition="0">
          <references count="2">
            <reference field="5" count="13">
              <x v="0"/>
              <x v="1"/>
              <x v="2"/>
              <x v="3"/>
              <x v="4"/>
              <x v="5"/>
              <x v="6"/>
              <x v="9"/>
              <x v="10"/>
              <x v="11"/>
              <x v="12"/>
              <x v="13"/>
              <x v="14"/>
            </reference>
            <reference field="7" count="1" selected="0">
              <x v="1"/>
            </reference>
          </references>
        </pivotArea>
      </pivotAreas>
    </conditionalFormat>
  </conditionalFormats>
  <chartFormats count="17">
    <chartFormat chart="0" format="0"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5" count="1" selected="0">
            <x v="0"/>
          </reference>
        </references>
      </pivotArea>
    </chartFormat>
    <chartFormat chart="4" format="19">
      <pivotArea type="data" outline="0" fieldPosition="0">
        <references count="2">
          <reference field="4294967294" count="1" selected="0">
            <x v="0"/>
          </reference>
          <reference field="5" count="1" selected="0">
            <x v="11"/>
          </reference>
        </references>
      </pivotArea>
    </chartFormat>
    <chartFormat chart="4" format="20">
      <pivotArea type="data" outline="0" fieldPosition="0">
        <references count="2">
          <reference field="4294967294" count="1" selected="0">
            <x v="0"/>
          </reference>
          <reference field="5" count="1" selected="0">
            <x v="9"/>
          </reference>
        </references>
      </pivotArea>
    </chartFormat>
    <chartFormat chart="4" format="21">
      <pivotArea type="data" outline="0" fieldPosition="0">
        <references count="2">
          <reference field="4294967294" count="1" selected="0">
            <x v="0"/>
          </reference>
          <reference field="5" count="1" selected="0">
            <x v="1"/>
          </reference>
        </references>
      </pivotArea>
    </chartFormat>
    <chartFormat chart="4" format="22">
      <pivotArea type="data" outline="0" fieldPosition="0">
        <references count="2">
          <reference field="4294967294" count="1" selected="0">
            <x v="0"/>
          </reference>
          <reference field="5" count="1" selected="0">
            <x v="13"/>
          </reference>
        </references>
      </pivotArea>
    </chartFormat>
    <chartFormat chart="4" format="23">
      <pivotArea type="data" outline="0" fieldPosition="0">
        <references count="2">
          <reference field="4294967294" count="1" selected="0">
            <x v="0"/>
          </reference>
          <reference field="5" count="1" selected="0">
            <x v="2"/>
          </reference>
        </references>
      </pivotArea>
    </chartFormat>
    <chartFormat chart="4" format="24">
      <pivotArea type="data" outline="0" fieldPosition="0">
        <references count="2">
          <reference field="4294967294" count="1" selected="0">
            <x v="0"/>
          </reference>
          <reference field="5" count="1" selected="0">
            <x v="8"/>
          </reference>
        </references>
      </pivotArea>
    </chartFormat>
    <chartFormat chart="4" format="25">
      <pivotArea type="data" outline="0" fieldPosition="0">
        <references count="2">
          <reference field="4294967294" count="1" selected="0">
            <x v="0"/>
          </reference>
          <reference field="5" count="1" selected="0">
            <x v="3"/>
          </reference>
        </references>
      </pivotArea>
    </chartFormat>
    <chartFormat chart="4" format="26">
      <pivotArea type="data" outline="0" fieldPosition="0">
        <references count="2">
          <reference field="4294967294" count="1" selected="0">
            <x v="0"/>
          </reference>
          <reference field="5" count="1" selected="0">
            <x v="10"/>
          </reference>
        </references>
      </pivotArea>
    </chartFormat>
    <chartFormat chart="4" format="27">
      <pivotArea type="data" outline="0" fieldPosition="0">
        <references count="2">
          <reference field="4294967294" count="1" selected="0">
            <x v="0"/>
          </reference>
          <reference field="5" count="1" selected="0">
            <x v="4"/>
          </reference>
        </references>
      </pivotArea>
    </chartFormat>
    <chartFormat chart="4" format="28">
      <pivotArea type="data" outline="0" fieldPosition="0">
        <references count="2">
          <reference field="4294967294" count="1" selected="0">
            <x v="0"/>
          </reference>
          <reference field="5" count="1" selected="0">
            <x v="12"/>
          </reference>
        </references>
      </pivotArea>
    </chartFormat>
    <chartFormat chart="4" format="29">
      <pivotArea type="data" outline="0" fieldPosition="0">
        <references count="2">
          <reference field="4294967294" count="1" selected="0">
            <x v="0"/>
          </reference>
          <reference field="5" count="1" selected="0">
            <x v="5"/>
          </reference>
        </references>
      </pivotArea>
    </chartFormat>
    <chartFormat chart="4" format="30">
      <pivotArea type="data" outline="0" fieldPosition="0">
        <references count="2">
          <reference field="4294967294" count="1" selected="0">
            <x v="0"/>
          </reference>
          <reference field="5" count="1" selected="0">
            <x v="14"/>
          </reference>
        </references>
      </pivotArea>
    </chartFormat>
    <chartFormat chart="4" format="31">
      <pivotArea type="data" outline="0" fieldPosition="0">
        <references count="2">
          <reference field="4294967294" count="1" selected="0">
            <x v="0"/>
          </reference>
          <reference field="5" count="1" selected="0">
            <x v="6"/>
          </reference>
        </references>
      </pivotArea>
    </chartFormat>
    <chartFormat chart="4" format="32">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2" cacheId="1"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15">
  <location ref="A15:C26" firstHeaderRow="0" firstDataRow="1" firstDataCol="1"/>
  <pivotFields count="8">
    <pivotField dataField="1"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pivotField compact="0" showAll="0">
      <items count="11">
        <item x="7"/>
        <item x="1"/>
        <item x="9"/>
        <item x="0"/>
        <item x="2"/>
        <item x="6"/>
        <item x="4"/>
        <item x="8"/>
        <item x="3"/>
        <item x="5"/>
        <item t="default"/>
      </items>
    </pivotField>
    <pivotField dataField="1" compact="0" showAll="0">
      <items count="6">
        <item x="4"/>
        <item x="1"/>
        <item x="0"/>
        <item x="2"/>
        <item x="3"/>
        <item t="default"/>
      </items>
    </pivotField>
    <pivotField compact="0" showAll="0">
      <items count="5">
        <item x="1"/>
        <item x="3"/>
        <item x="0"/>
        <item x="2"/>
        <item t="default"/>
      </items>
    </pivotField>
    <pivotField compact="0" showAll="0"/>
    <pivotField compact="0" showAll="0"/>
    <pivotField axis="axisRow" compact="0" showAll="0" sortType="descending">
      <items count="11">
        <item x="2"/>
        <item x="0"/>
        <item x="7"/>
        <item x="1"/>
        <item x="4"/>
        <item x="5"/>
        <item x="6"/>
        <item x="3"/>
        <item x="8"/>
        <item x="9"/>
        <item t="default"/>
      </items>
      <autoSortScope>
        <pivotArea fieldPosition="0">
          <references count="1">
            <reference field="4294967294" count="1" selected="0">
              <x v="0"/>
            </reference>
          </references>
        </pivotArea>
      </autoSortScope>
    </pivotField>
  </pivotFields>
  <rowFields count="1">
    <field x="7"/>
  </rowFields>
  <rowItems count="11">
    <i>
      <x v="7"/>
    </i>
    <i>
      <x v="8"/>
    </i>
    <i>
      <x v="4"/>
    </i>
    <i>
      <x v="6"/>
    </i>
    <i>
      <x/>
    </i>
    <i>
      <x v="1"/>
    </i>
    <i>
      <x v="9"/>
    </i>
    <i>
      <x v="5"/>
    </i>
    <i>
      <x v="3"/>
    </i>
    <i>
      <x v="2"/>
    </i>
    <i t="grand">
      <x/>
    </i>
  </rowItems>
  <colFields count="1">
    <field x="-2"/>
  </colFields>
  <colItems count="2">
    <i>
      <x/>
    </i>
    <i i="1">
      <x v="1"/>
    </i>
  </colItems>
  <dataFields count="2">
    <dataField name="Count of EnrollmentID" fld="0" subtotal="count" baseField="0" baseItem="0"/>
    <dataField name="Average of Average GPA" fld="3" subtotal="average" baseField="0" baseItem="0"/>
  </dataFields>
  <chartFormats count="4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7"/>
          </reference>
        </references>
      </pivotArea>
    </chartFormat>
    <chartFormat chart="4" format="2">
      <pivotArea type="data" outline="0" fieldPosition="0">
        <references count="2">
          <reference field="4294967294" count="1" selected="0">
            <x v="0"/>
          </reference>
          <reference field="7" count="1" selected="0">
            <x v="8"/>
          </reference>
        </references>
      </pivotArea>
    </chartFormat>
    <chartFormat chart="4" format="3">
      <pivotArea type="data" outline="0" fieldPosition="0">
        <references count="2">
          <reference field="4294967294" count="1" selected="0">
            <x v="0"/>
          </reference>
          <reference field="7" count="1" selected="0">
            <x v="4"/>
          </reference>
        </references>
      </pivotArea>
    </chartFormat>
    <chartFormat chart="4" format="4">
      <pivotArea type="data" outline="0" fieldPosition="0">
        <references count="2">
          <reference field="4294967294" count="1" selected="0">
            <x v="0"/>
          </reference>
          <reference field="7" count="1" selected="0">
            <x v="6"/>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 chart="4" format="6">
      <pivotArea type="data" outline="0" fieldPosition="0">
        <references count="2">
          <reference field="4294967294" count="1" selected="0">
            <x v="0"/>
          </reference>
          <reference field="7" count="1" selected="0">
            <x v="1"/>
          </reference>
        </references>
      </pivotArea>
    </chartFormat>
    <chartFormat chart="4" format="7">
      <pivotArea type="data" outline="0" fieldPosition="0">
        <references count="2">
          <reference field="4294967294" count="1" selected="0">
            <x v="0"/>
          </reference>
          <reference field="7" count="1" selected="0">
            <x v="9"/>
          </reference>
        </references>
      </pivotArea>
    </chartFormat>
    <chartFormat chart="4" format="8">
      <pivotArea type="data" outline="0" fieldPosition="0">
        <references count="2">
          <reference field="4294967294" count="1" selected="0">
            <x v="0"/>
          </reference>
          <reference field="7" count="1" selected="0">
            <x v="5"/>
          </reference>
        </references>
      </pivotArea>
    </chartFormat>
    <chartFormat chart="4" format="9">
      <pivotArea type="data" outline="0" fieldPosition="0">
        <references count="2">
          <reference field="4294967294" count="1" selected="0">
            <x v="0"/>
          </reference>
          <reference field="7" count="1" selected="0">
            <x v="3"/>
          </reference>
        </references>
      </pivotArea>
    </chartFormat>
    <chartFormat chart="4" format="10">
      <pivotArea type="data" outline="0" fieldPosition="0">
        <references count="2">
          <reference field="4294967294" count="1" selected="0">
            <x v="0"/>
          </reference>
          <reference field="7" count="1" selected="0">
            <x v="2"/>
          </reference>
        </references>
      </pivotArea>
    </chartFormat>
    <chartFormat chart="4" format="11" series="1">
      <pivotArea type="data" outline="0" fieldPosition="0">
        <references count="1">
          <reference field="4294967294" count="1" selected="0">
            <x v="1"/>
          </reference>
        </references>
      </pivotArea>
    </chartFormat>
    <chartFormat chart="4" format="12">
      <pivotArea type="data" outline="0" fieldPosition="0">
        <references count="2">
          <reference field="4294967294" count="1" selected="0">
            <x v="1"/>
          </reference>
          <reference field="7" count="1" selected="0">
            <x v="7"/>
          </reference>
        </references>
      </pivotArea>
    </chartFormat>
    <chartFormat chart="4" format="13">
      <pivotArea type="data" outline="0" fieldPosition="0">
        <references count="2">
          <reference field="4294967294" count="1" selected="0">
            <x v="1"/>
          </reference>
          <reference field="7" count="1" selected="0">
            <x v="8"/>
          </reference>
        </references>
      </pivotArea>
    </chartFormat>
    <chartFormat chart="4" format="14">
      <pivotArea type="data" outline="0" fieldPosition="0">
        <references count="2">
          <reference field="4294967294" count="1" selected="0">
            <x v="1"/>
          </reference>
          <reference field="7" count="1" selected="0">
            <x v="4"/>
          </reference>
        </references>
      </pivotArea>
    </chartFormat>
    <chartFormat chart="4" format="15">
      <pivotArea type="data" outline="0" fieldPosition="0">
        <references count="2">
          <reference field="4294967294" count="1" selected="0">
            <x v="1"/>
          </reference>
          <reference field="7" count="1" selected="0">
            <x v="6"/>
          </reference>
        </references>
      </pivotArea>
    </chartFormat>
    <chartFormat chart="4" format="16">
      <pivotArea type="data" outline="0" fieldPosition="0">
        <references count="2">
          <reference field="4294967294" count="1" selected="0">
            <x v="1"/>
          </reference>
          <reference field="7" count="1" selected="0">
            <x v="0"/>
          </reference>
        </references>
      </pivotArea>
    </chartFormat>
    <chartFormat chart="4" format="17">
      <pivotArea type="data" outline="0" fieldPosition="0">
        <references count="2">
          <reference field="4294967294" count="1" selected="0">
            <x v="1"/>
          </reference>
          <reference field="7" count="1" selected="0">
            <x v="1"/>
          </reference>
        </references>
      </pivotArea>
    </chartFormat>
    <chartFormat chart="4" format="18">
      <pivotArea type="data" outline="0" fieldPosition="0">
        <references count="2">
          <reference field="4294967294" count="1" selected="0">
            <x v="1"/>
          </reference>
          <reference field="7" count="1" selected="0">
            <x v="9"/>
          </reference>
        </references>
      </pivotArea>
    </chartFormat>
    <chartFormat chart="4" format="19">
      <pivotArea type="data" outline="0" fieldPosition="0">
        <references count="2">
          <reference field="4294967294" count="1" selected="0">
            <x v="1"/>
          </reference>
          <reference field="7" count="1" selected="0">
            <x v="5"/>
          </reference>
        </references>
      </pivotArea>
    </chartFormat>
    <chartFormat chart="4" format="20">
      <pivotArea type="data" outline="0" fieldPosition="0">
        <references count="2">
          <reference field="4294967294" count="1" selected="0">
            <x v="1"/>
          </reference>
          <reference field="7" count="1" selected="0">
            <x v="3"/>
          </reference>
        </references>
      </pivotArea>
    </chartFormat>
    <chartFormat chart="4" format="21">
      <pivotArea type="data" outline="0" fieldPosition="0">
        <references count="2">
          <reference field="4294967294" count="1" selected="0">
            <x v="1"/>
          </reference>
          <reference field="7" count="1" selected="0">
            <x v="2"/>
          </reference>
        </references>
      </pivotArea>
    </chartFormat>
    <chartFormat chart="7" format="44" series="1">
      <pivotArea type="data" outline="0" fieldPosition="0">
        <references count="1">
          <reference field="4294967294" count="1" selected="0">
            <x v="0"/>
          </reference>
        </references>
      </pivotArea>
    </chartFormat>
    <chartFormat chart="7" format="45">
      <pivotArea type="data" outline="0" fieldPosition="0">
        <references count="2">
          <reference field="4294967294" count="1" selected="0">
            <x v="0"/>
          </reference>
          <reference field="7" count="1" selected="0">
            <x v="7"/>
          </reference>
        </references>
      </pivotArea>
    </chartFormat>
    <chartFormat chart="7" format="46">
      <pivotArea type="data" outline="0" fieldPosition="0">
        <references count="2">
          <reference field="4294967294" count="1" selected="0">
            <x v="0"/>
          </reference>
          <reference field="7" count="1" selected="0">
            <x v="8"/>
          </reference>
        </references>
      </pivotArea>
    </chartFormat>
    <chartFormat chart="7" format="47">
      <pivotArea type="data" outline="0" fieldPosition="0">
        <references count="2">
          <reference field="4294967294" count="1" selected="0">
            <x v="0"/>
          </reference>
          <reference field="7" count="1" selected="0">
            <x v="4"/>
          </reference>
        </references>
      </pivotArea>
    </chartFormat>
    <chartFormat chart="7" format="48">
      <pivotArea type="data" outline="0" fieldPosition="0">
        <references count="2">
          <reference field="4294967294" count="1" selected="0">
            <x v="0"/>
          </reference>
          <reference field="7" count="1" selected="0">
            <x v="6"/>
          </reference>
        </references>
      </pivotArea>
    </chartFormat>
    <chartFormat chart="7" format="49">
      <pivotArea type="data" outline="0" fieldPosition="0">
        <references count="2">
          <reference field="4294967294" count="1" selected="0">
            <x v="0"/>
          </reference>
          <reference field="7" count="1" selected="0">
            <x v="0"/>
          </reference>
        </references>
      </pivotArea>
    </chartFormat>
    <chartFormat chart="7" format="50">
      <pivotArea type="data" outline="0" fieldPosition="0">
        <references count="2">
          <reference field="4294967294" count="1" selected="0">
            <x v="0"/>
          </reference>
          <reference field="7" count="1" selected="0">
            <x v="1"/>
          </reference>
        </references>
      </pivotArea>
    </chartFormat>
    <chartFormat chart="7" format="51">
      <pivotArea type="data" outline="0" fieldPosition="0">
        <references count="2">
          <reference field="4294967294" count="1" selected="0">
            <x v="0"/>
          </reference>
          <reference field="7" count="1" selected="0">
            <x v="9"/>
          </reference>
        </references>
      </pivotArea>
    </chartFormat>
    <chartFormat chart="7" format="52">
      <pivotArea type="data" outline="0" fieldPosition="0">
        <references count="2">
          <reference field="4294967294" count="1" selected="0">
            <x v="0"/>
          </reference>
          <reference field="7" count="1" selected="0">
            <x v="5"/>
          </reference>
        </references>
      </pivotArea>
    </chartFormat>
    <chartFormat chart="7" format="53">
      <pivotArea type="data" outline="0" fieldPosition="0">
        <references count="2">
          <reference field="4294967294" count="1" selected="0">
            <x v="0"/>
          </reference>
          <reference field="7" count="1" selected="0">
            <x v="3"/>
          </reference>
        </references>
      </pivotArea>
    </chartFormat>
    <chartFormat chart="7" format="54">
      <pivotArea type="data" outline="0" fieldPosition="0">
        <references count="2">
          <reference field="4294967294" count="1" selected="0">
            <x v="0"/>
          </reference>
          <reference field="7" count="1" selected="0">
            <x v="2"/>
          </reference>
        </references>
      </pivotArea>
    </chartFormat>
    <chartFormat chart="7" format="55" series="1">
      <pivotArea type="data" outline="0" fieldPosition="0">
        <references count="1">
          <reference field="4294967294" count="1" selected="0">
            <x v="1"/>
          </reference>
        </references>
      </pivotArea>
    </chartFormat>
    <chartFormat chart="7" format="56">
      <pivotArea type="data" outline="0" fieldPosition="0">
        <references count="2">
          <reference field="4294967294" count="1" selected="0">
            <x v="1"/>
          </reference>
          <reference field="7" count="1" selected="0">
            <x v="7"/>
          </reference>
        </references>
      </pivotArea>
    </chartFormat>
    <chartFormat chart="7" format="57">
      <pivotArea type="data" outline="0" fieldPosition="0">
        <references count="2">
          <reference field="4294967294" count="1" selected="0">
            <x v="1"/>
          </reference>
          <reference field="7" count="1" selected="0">
            <x v="8"/>
          </reference>
        </references>
      </pivotArea>
    </chartFormat>
    <chartFormat chart="7" format="58">
      <pivotArea type="data" outline="0" fieldPosition="0">
        <references count="2">
          <reference field="4294967294" count="1" selected="0">
            <x v="1"/>
          </reference>
          <reference field="7" count="1" selected="0">
            <x v="4"/>
          </reference>
        </references>
      </pivotArea>
    </chartFormat>
    <chartFormat chart="7" format="59">
      <pivotArea type="data" outline="0" fieldPosition="0">
        <references count="2">
          <reference field="4294967294" count="1" selected="0">
            <x v="1"/>
          </reference>
          <reference field="7" count="1" selected="0">
            <x v="6"/>
          </reference>
        </references>
      </pivotArea>
    </chartFormat>
    <chartFormat chart="7" format="60">
      <pivotArea type="data" outline="0" fieldPosition="0">
        <references count="2">
          <reference field="4294967294" count="1" selected="0">
            <x v="1"/>
          </reference>
          <reference field="7" count="1" selected="0">
            <x v="0"/>
          </reference>
        </references>
      </pivotArea>
    </chartFormat>
    <chartFormat chart="7" format="61">
      <pivotArea type="data" outline="0" fieldPosition="0">
        <references count="2">
          <reference field="4294967294" count="1" selected="0">
            <x v="1"/>
          </reference>
          <reference field="7" count="1" selected="0">
            <x v="1"/>
          </reference>
        </references>
      </pivotArea>
    </chartFormat>
    <chartFormat chart="7" format="62">
      <pivotArea type="data" outline="0" fieldPosition="0">
        <references count="2">
          <reference field="4294967294" count="1" selected="0">
            <x v="1"/>
          </reference>
          <reference field="7" count="1" selected="0">
            <x v="9"/>
          </reference>
        </references>
      </pivotArea>
    </chartFormat>
    <chartFormat chart="7" format="63">
      <pivotArea type="data" outline="0" fieldPosition="0">
        <references count="2">
          <reference field="4294967294" count="1" selected="0">
            <x v="1"/>
          </reference>
          <reference field="7" count="1" selected="0">
            <x v="5"/>
          </reference>
        </references>
      </pivotArea>
    </chartFormat>
    <chartFormat chart="7" format="64">
      <pivotArea type="data" outline="0" fieldPosition="0">
        <references count="2">
          <reference field="4294967294" count="1" selected="0">
            <x v="1"/>
          </reference>
          <reference field="7" count="1" selected="0">
            <x v="3"/>
          </reference>
        </references>
      </pivotArea>
    </chartFormat>
    <chartFormat chart="7" format="65">
      <pivotArea type="data" outline="0" fieldPosition="0">
        <references count="2">
          <reference field="4294967294" count="1" selected="0">
            <x v="1"/>
          </reference>
          <reference field="7"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3" cacheId="2"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13">
  <location ref="A21:C27" firstHeaderRow="0" firstDataRow="1" firstDataCol="1"/>
  <pivotFields count="9">
    <pivotField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dataField="1" compact="0" showAll="0">
      <items count="99">
        <item x="39"/>
        <item x="54"/>
        <item x="88"/>
        <item x="4"/>
        <item x="97"/>
        <item x="11"/>
        <item x="61"/>
        <item x="86"/>
        <item x="37"/>
        <item x="70"/>
        <item x="44"/>
        <item x="23"/>
        <item x="58"/>
        <item x="52"/>
        <item x="74"/>
        <item x="63"/>
        <item x="42"/>
        <item x="30"/>
        <item x="92"/>
        <item x="75"/>
        <item x="93"/>
        <item x="81"/>
        <item x="66"/>
        <item x="45"/>
        <item x="16"/>
        <item x="24"/>
        <item x="19"/>
        <item x="50"/>
        <item x="36"/>
        <item x="34"/>
        <item x="25"/>
        <item x="48"/>
        <item x="55"/>
        <item x="71"/>
        <item x="5"/>
        <item x="22"/>
        <item x="67"/>
        <item x="82"/>
        <item x="65"/>
        <item x="56"/>
        <item x="46"/>
        <item x="87"/>
        <item x="47"/>
        <item x="3"/>
        <item x="12"/>
        <item x="79"/>
        <item x="89"/>
        <item x="10"/>
        <item x="43"/>
        <item x="15"/>
        <item x="73"/>
        <item x="40"/>
        <item x="69"/>
        <item x="9"/>
        <item x="64"/>
        <item x="32"/>
        <item x="26"/>
        <item x="20"/>
        <item x="2"/>
        <item x="60"/>
        <item x="41"/>
        <item x="84"/>
        <item x="14"/>
        <item x="21"/>
        <item x="94"/>
        <item x="80"/>
        <item x="85"/>
        <item x="35"/>
        <item x="18"/>
        <item x="29"/>
        <item x="51"/>
        <item x="62"/>
        <item x="7"/>
        <item x="90"/>
        <item x="8"/>
        <item x="91"/>
        <item x="17"/>
        <item x="13"/>
        <item x="77"/>
        <item x="72"/>
        <item x="6"/>
        <item x="95"/>
        <item x="53"/>
        <item x="0"/>
        <item x="76"/>
        <item x="68"/>
        <item x="78"/>
        <item x="1"/>
        <item x="59"/>
        <item x="27"/>
        <item x="57"/>
        <item x="83"/>
        <item x="96"/>
        <item x="49"/>
        <item x="31"/>
        <item x="38"/>
        <item x="33"/>
        <item x="28"/>
        <item t="default"/>
      </items>
    </pivotField>
    <pivotField compact="0" showAll="0">
      <items count="11">
        <item x="7"/>
        <item x="1"/>
        <item x="9"/>
        <item x="0"/>
        <item x="2"/>
        <item x="6"/>
        <item x="4"/>
        <item x="8"/>
        <item x="3"/>
        <item x="5"/>
        <item t="default"/>
      </items>
    </pivotField>
    <pivotField dataField="1" compact="0" showAll="0">
      <items count="6">
        <item x="4"/>
        <item x="1"/>
        <item x="0"/>
        <item x="2"/>
        <item x="3"/>
        <item t="default"/>
      </items>
    </pivotField>
    <pivotField compact="0" showAll="0">
      <items count="5">
        <item x="1"/>
        <item h="1" x="3"/>
        <item h="1" x="0"/>
        <item h="1" x="2"/>
        <item t="default"/>
      </items>
    </pivotField>
    <pivotField compact="0" showAll="0">
      <items count="16">
        <item x="1"/>
        <item x="4"/>
        <item x="6"/>
        <item x="14"/>
        <item x="8"/>
        <item x="5"/>
        <item x="13"/>
        <item x="11"/>
        <item x="9"/>
        <item x="7"/>
        <item x="12"/>
        <item x="0"/>
        <item x="2"/>
        <item x="10"/>
        <item x="3"/>
        <item t="default"/>
      </items>
    </pivotField>
    <pivotField compact="0" showAll="0">
      <items count="3">
        <item x="1"/>
        <item x="0"/>
        <item t="default"/>
      </items>
    </pivotField>
    <pivotField compact="0" showAll="0">
      <items count="11">
        <item x="2"/>
        <item x="0"/>
        <item x="7"/>
        <item x="1"/>
        <item x="4"/>
        <item x="5"/>
        <item x="6"/>
        <item x="3"/>
        <item x="8"/>
        <item x="9"/>
        <item t="default"/>
      </items>
    </pivotField>
    <pivotField axis="axisRow" compact="0" showAll="0" sortType="ascending">
      <items count="6">
        <item x="1"/>
        <item x="4"/>
        <item x="3"/>
        <item x="2"/>
        <item x="0"/>
        <item t="default"/>
      </items>
    </pivotField>
  </pivotFields>
  <rowFields count="1">
    <field x="8"/>
  </rowFields>
  <rowItems count="6">
    <i>
      <x/>
    </i>
    <i>
      <x v="1"/>
    </i>
    <i>
      <x v="2"/>
    </i>
    <i>
      <x v="3"/>
    </i>
    <i>
      <x v="4"/>
    </i>
    <i t="grand">
      <x/>
    </i>
  </rowItems>
  <colFields count="1">
    <field x="-2"/>
  </colFields>
  <colItems count="2">
    <i>
      <x/>
    </i>
    <i i="1">
      <x v="1"/>
    </i>
  </colItems>
  <dataFields count="2">
    <dataField name="Count of StudentID" fld="1" subtotal="count" baseField="0" baseItem="0"/>
    <dataField name="Average of Average GPA" fld="3" subtotal="average" baseField="0" baseItem="0"/>
  </dataFields>
  <chartFormats count="1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pivotArea type="data" outline="0" fieldPosition="0">
        <references count="2">
          <reference field="4294967294" count="1" selected="0">
            <x v="0"/>
          </reference>
          <reference field="8" count="1" selected="0">
            <x v="4"/>
          </reference>
        </references>
      </pivotArea>
    </chartFormat>
    <chartFormat chart="10" format="7">
      <pivotArea type="data" outline="0" fieldPosition="0">
        <references count="2">
          <reference field="4294967294" count="1" selected="0">
            <x v="1"/>
          </reference>
          <reference field="8" count="1" selected="0">
            <x v="4"/>
          </reference>
        </references>
      </pivotArea>
    </chartFormat>
    <chartFormat chart="10" format="8">
      <pivotArea type="data" outline="0" fieldPosition="0">
        <references count="2">
          <reference field="4294967294" count="1" selected="0">
            <x v="0"/>
          </reference>
          <reference field="8" count="1" selected="0">
            <x v="3"/>
          </reference>
        </references>
      </pivotArea>
    </chartFormat>
    <chartFormat chart="10" format="9">
      <pivotArea type="data" outline="0" fieldPosition="0">
        <references count="2">
          <reference field="4294967294" count="1" selected="0">
            <x v="0"/>
          </reference>
          <reference field="8" count="1" selected="0">
            <x v="2"/>
          </reference>
        </references>
      </pivotArea>
    </chartFormat>
    <chartFormat chart="10" format="10">
      <pivotArea type="data" outline="0" fieldPosition="0">
        <references count="2">
          <reference field="4294967294" count="1" selected="0">
            <x v="1"/>
          </reference>
          <reference field="8" count="1" selected="0">
            <x v="2"/>
          </reference>
        </references>
      </pivotArea>
    </chartFormat>
    <chartFormat chart="10" format="11">
      <pivotArea type="data" outline="0" fieldPosition="0">
        <references count="2">
          <reference field="4294967294" count="1" selected="0">
            <x v="1"/>
          </reference>
          <reference field="8" count="1" selected="0">
            <x v="1"/>
          </reference>
        </references>
      </pivotArea>
    </chartFormat>
    <chartFormat chart="10" format="12">
      <pivotArea type="data" outline="0" fieldPosition="0">
        <references count="2">
          <reference field="4294967294" count="1" selected="0">
            <x v="0"/>
          </reference>
          <reference field="8" count="1" selected="0">
            <x v="1"/>
          </reference>
        </references>
      </pivotArea>
    </chartFormat>
    <chartFormat chart="10" format="13">
      <pivotArea type="data" outline="0" fieldPosition="0">
        <references count="2">
          <reference field="4294967294" count="1" selected="0">
            <x v="1"/>
          </reference>
          <reference field="8" count="1" selected="0">
            <x v="0"/>
          </reference>
        </references>
      </pivotArea>
    </chartFormat>
    <chartFormat chart="10" format="1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ivotTable4" cacheId="2"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A20:C22" firstHeaderRow="0" firstDataRow="1" firstDataCol="1"/>
  <pivotFields count="9">
    <pivotField dataField="1"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pivotField compact="0" showAll="0"/>
    <pivotField dataField="1" compact="0" showAll="0">
      <items count="6">
        <item x="4"/>
        <item x="1"/>
        <item x="0"/>
        <item x="2"/>
        <item x="3"/>
        <item t="default"/>
      </items>
    </pivotField>
    <pivotField axis="axisRow" compact="0" showAll="0">
      <items count="5">
        <item x="1"/>
        <item h="1" x="3"/>
        <item h="1" x="0"/>
        <item h="1" x="2"/>
        <item t="default"/>
      </items>
    </pivotField>
    <pivotField compact="0" showAll="0"/>
    <pivotField compact="0" showAll="0"/>
    <pivotField compact="0" showAll="0"/>
    <pivotField compact="0" showAll="0">
      <items count="6">
        <item x="1"/>
        <item x="4"/>
        <item x="3"/>
        <item x="2"/>
        <item x="0"/>
        <item t="default"/>
      </items>
    </pivotField>
  </pivotFields>
  <rowFields count="1">
    <field x="4"/>
  </rowFields>
  <rowItems count="2">
    <i>
      <x/>
    </i>
    <i t="grand">
      <x/>
    </i>
  </rowItems>
  <colFields count="1">
    <field x="-2"/>
  </colFields>
  <colItems count="2">
    <i>
      <x/>
    </i>
    <i i="1">
      <x v="1"/>
    </i>
  </colItems>
  <dataFields count="2">
    <dataField name="Count of EnrollmentID" fld="0" subtotal="count" baseField="0" baseItem="0"/>
    <dataField name="Average of Average GPA"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3000000}" name="PivotTable8" cacheId="2"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2">
  <location ref="A21:C37" firstHeaderRow="1" firstDataRow="1" firstDataCol="2"/>
  <pivotFields count="9">
    <pivotField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pivotField compact="0" showAll="0"/>
    <pivotField axis="axisRow" dataField="1" compact="0" showAll="0">
      <items count="6">
        <item x="4"/>
        <item x="1"/>
        <item x="0"/>
        <item x="2"/>
        <item x="3"/>
        <item t="default"/>
      </items>
    </pivotField>
    <pivotField compact="0" showAll="0">
      <items count="5">
        <item x="1"/>
        <item h="1" x="3"/>
        <item h="1" x="0"/>
        <item h="1" x="2"/>
        <item t="default"/>
      </items>
    </pivotField>
    <pivotField compact="0" showAll="0"/>
    <pivotField axis="axisRow" compact="0" showAll="0">
      <items count="3">
        <item x="1"/>
        <item x="0"/>
        <item t="default"/>
      </items>
    </pivotField>
    <pivotField compact="0" showAll="0"/>
    <pivotField compact="0" showAll="0">
      <items count="6">
        <item x="1"/>
        <item x="4"/>
        <item x="3"/>
        <item x="2"/>
        <item x="0"/>
        <item t="default"/>
      </items>
    </pivotField>
  </pivotFields>
  <rowFields count="2">
    <field x="3"/>
    <field x="6"/>
  </rowFields>
  <rowItems count="16">
    <i>
      <x/>
    </i>
    <i r="1">
      <x/>
    </i>
    <i r="1">
      <x v="1"/>
    </i>
    <i>
      <x v="1"/>
    </i>
    <i r="1">
      <x/>
    </i>
    <i r="1">
      <x v="1"/>
    </i>
    <i>
      <x v="2"/>
    </i>
    <i r="1">
      <x/>
    </i>
    <i r="1">
      <x v="1"/>
    </i>
    <i>
      <x v="3"/>
    </i>
    <i r="1">
      <x/>
    </i>
    <i r="1">
      <x v="1"/>
    </i>
    <i>
      <x v="4"/>
    </i>
    <i r="1">
      <x/>
    </i>
    <i r="1">
      <x v="1"/>
    </i>
    <i t="grand">
      <x/>
    </i>
  </rowItems>
  <colItems count="1">
    <i/>
  </colItems>
  <dataFields count="1">
    <dataField name="Count of Average GPA" fld="3"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3" count="1" selected="0">
            <x v="0"/>
          </reference>
          <reference field="6" count="1" selected="0">
            <x v="0"/>
          </reference>
        </references>
      </pivotArea>
    </chartFormat>
    <chartFormat chart="0" format="2">
      <pivotArea type="data" outline="0" fieldPosition="0">
        <references count="3">
          <reference field="4294967294" count="1" selected="0">
            <x v="0"/>
          </reference>
          <reference field="3" count="1" selected="0">
            <x v="0"/>
          </reference>
          <reference field="6" count="1" selected="0">
            <x v="1"/>
          </reference>
        </references>
      </pivotArea>
    </chartFormat>
    <chartFormat chart="0" format="3">
      <pivotArea type="data" outline="0" fieldPosition="0">
        <references count="3">
          <reference field="4294967294" count="1" selected="0">
            <x v="0"/>
          </reference>
          <reference field="3" count="1" selected="0">
            <x v="1"/>
          </reference>
          <reference field="6" count="1" selected="0">
            <x v="1"/>
          </reference>
        </references>
      </pivotArea>
    </chartFormat>
    <chartFormat chart="0" format="4">
      <pivotArea type="data" outline="0" fieldPosition="0">
        <references count="3">
          <reference field="4294967294" count="1" selected="0">
            <x v="0"/>
          </reference>
          <reference field="3" count="1" selected="0">
            <x v="2"/>
          </reference>
          <reference field="6" count="1" selected="0">
            <x v="1"/>
          </reference>
        </references>
      </pivotArea>
    </chartFormat>
    <chartFormat chart="0" format="5">
      <pivotArea type="data" outline="0" fieldPosition="0">
        <references count="3">
          <reference field="4294967294" count="1" selected="0">
            <x v="0"/>
          </reference>
          <reference field="3" count="1" selected="0">
            <x v="3"/>
          </reference>
          <reference field="6" count="1" selected="0">
            <x v="1"/>
          </reference>
        </references>
      </pivotArea>
    </chartFormat>
    <chartFormat chart="0" format="6">
      <pivotArea type="data" outline="0" fieldPosition="0">
        <references count="3">
          <reference field="4294967294" count="1" selected="0">
            <x v="0"/>
          </reference>
          <reference field="3" count="1" selected="0">
            <x v="4"/>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3" cacheId="4"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H19:J62" firstHeaderRow="1" firstDataRow="1" firstDataCol="2"/>
  <pivotFields count="10">
    <pivotField compact="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compact="0" showAll="0"/>
    <pivotField axis="axisRow" dataField="1" compact="0" multipleItemSelectionAllowed="1" showAll="0">
      <items count="11">
        <item h="1" x="7"/>
        <item x="1"/>
        <item h="1" x="9"/>
        <item h="1" x="0"/>
        <item x="2"/>
        <item h="1" x="6"/>
        <item h="1" x="4"/>
        <item h="1" x="8"/>
        <item h="1" x="3"/>
        <item h="1" x="5"/>
        <item t="default"/>
      </items>
    </pivotField>
    <pivotField compact="0" showAll="0"/>
    <pivotField compact="0" showAll="0"/>
    <pivotField axis="axisRow" compact="0" showAll="0">
      <items count="16">
        <item x="1"/>
        <item x="4"/>
        <item x="6"/>
        <item x="14"/>
        <item x="8"/>
        <item x="5"/>
        <item x="13"/>
        <item x="11"/>
        <item x="9"/>
        <item x="7"/>
        <item x="12"/>
        <item x="0"/>
        <item x="2"/>
        <item x="10"/>
        <item x="3"/>
        <item t="default"/>
      </items>
    </pivotField>
    <pivotField compact="0" showAll="0"/>
    <pivotField compact="0" showAll="0"/>
    <pivotField compact="0" showAll="0"/>
    <pivotField compact="0" showAll="0"/>
  </pivotFields>
  <rowFields count="2">
    <field x="5"/>
    <field x="2"/>
  </rowFields>
  <rowItems count="43">
    <i>
      <x/>
    </i>
    <i r="1">
      <x v="1"/>
    </i>
    <i r="1">
      <x v="4"/>
    </i>
    <i>
      <x v="1"/>
    </i>
    <i r="1">
      <x v="1"/>
    </i>
    <i r="1">
      <x v="4"/>
    </i>
    <i>
      <x v="2"/>
    </i>
    <i r="1">
      <x v="1"/>
    </i>
    <i r="1">
      <x v="4"/>
    </i>
    <i>
      <x v="3"/>
    </i>
    <i r="1">
      <x v="1"/>
    </i>
    <i r="1">
      <x v="4"/>
    </i>
    <i>
      <x v="4"/>
    </i>
    <i r="1">
      <x v="1"/>
    </i>
    <i r="1">
      <x v="4"/>
    </i>
    <i>
      <x v="5"/>
    </i>
    <i r="1">
      <x v="1"/>
    </i>
    <i r="1">
      <x v="4"/>
    </i>
    <i>
      <x v="7"/>
    </i>
    <i r="1">
      <x v="1"/>
    </i>
    <i r="1">
      <x v="4"/>
    </i>
    <i>
      <x v="8"/>
    </i>
    <i r="1">
      <x v="1"/>
    </i>
    <i r="1">
      <x v="4"/>
    </i>
    <i>
      <x v="9"/>
    </i>
    <i r="1">
      <x v="1"/>
    </i>
    <i r="1">
      <x v="4"/>
    </i>
    <i>
      <x v="10"/>
    </i>
    <i r="1">
      <x v="1"/>
    </i>
    <i r="1">
      <x v="4"/>
    </i>
    <i>
      <x v="11"/>
    </i>
    <i r="1">
      <x v="1"/>
    </i>
    <i r="1">
      <x v="4"/>
    </i>
    <i>
      <x v="12"/>
    </i>
    <i r="1">
      <x v="1"/>
    </i>
    <i r="1">
      <x v="4"/>
    </i>
    <i>
      <x v="13"/>
    </i>
    <i r="1">
      <x v="1"/>
    </i>
    <i r="1">
      <x v="4"/>
    </i>
    <i>
      <x v="14"/>
    </i>
    <i r="1">
      <x v="1"/>
    </i>
    <i r="1">
      <x v="4"/>
    </i>
    <i t="grand">
      <x/>
    </i>
  </rowItems>
  <colItems count="1">
    <i/>
  </colItems>
  <dataFields count="1">
    <dataField name="Count of Course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10" cacheId="3"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M19:O618" firstHeaderRow="1" firstDataRow="1" firstDataCol="2"/>
  <pivotFields count="5">
    <pivotField axis="axisRow" compact="0" showAll="0">
      <items count="501">
        <item x="416"/>
        <item x="439"/>
        <item x="294"/>
        <item x="213"/>
        <item x="14"/>
        <item x="172"/>
        <item x="401"/>
        <item x="15"/>
        <item x="358"/>
        <item x="363"/>
        <item x="261"/>
        <item x="235"/>
        <item x="21"/>
        <item x="221"/>
        <item x="384"/>
        <item x="308"/>
        <item x="244"/>
        <item x="128"/>
        <item x="375"/>
        <item x="335"/>
        <item x="136"/>
        <item x="289"/>
        <item x="314"/>
        <item x="179"/>
        <item x="60"/>
        <item x="133"/>
        <item x="152"/>
        <item x="282"/>
        <item x="450"/>
        <item x="153"/>
        <item x="494"/>
        <item x="440"/>
        <item x="340"/>
        <item x="99"/>
        <item x="473"/>
        <item x="336"/>
        <item x="275"/>
        <item x="485"/>
        <item x="173"/>
        <item x="149"/>
        <item x="329"/>
        <item x="144"/>
        <item x="40"/>
        <item x="330"/>
        <item x="137"/>
        <item x="477"/>
        <item x="0"/>
        <item x="252"/>
        <item x="303"/>
        <item x="304"/>
        <item x="417"/>
        <item x="89"/>
        <item x="240"/>
        <item x="53"/>
        <item x="123"/>
        <item x="201"/>
        <item x="210"/>
        <item x="158"/>
        <item x="465"/>
        <item x="140"/>
        <item x="154"/>
        <item x="150"/>
        <item x="347"/>
        <item x="486"/>
        <item x="495"/>
        <item x="359"/>
        <item x="241"/>
        <item x="74"/>
        <item x="348"/>
        <item x="409"/>
        <item x="5"/>
        <item x="262"/>
        <item x="263"/>
        <item x="376"/>
        <item x="264"/>
        <item x="155"/>
        <item x="156"/>
        <item x="211"/>
        <item x="124"/>
        <item x="166"/>
        <item x="341"/>
        <item x="54"/>
        <item x="342"/>
        <item x="276"/>
        <item x="141"/>
        <item x="410"/>
        <item x="337"/>
        <item x="466"/>
        <item x="441"/>
        <item x="159"/>
        <item x="194"/>
        <item x="129"/>
        <item x="456"/>
        <item x="66"/>
        <item x="222"/>
        <item x="445"/>
        <item x="22"/>
        <item x="442"/>
        <item x="6"/>
        <item x="299"/>
        <item x="34"/>
        <item x="41"/>
        <item x="352"/>
        <item x="349"/>
        <item x="81"/>
        <item x="496"/>
        <item x="268"/>
        <item x="188"/>
        <item x="377"/>
        <item x="167"/>
        <item x="119"/>
        <item x="1"/>
        <item x="184"/>
        <item x="446"/>
        <item x="430"/>
        <item x="259"/>
        <item x="402"/>
        <item x="48"/>
        <item x="364"/>
        <item x="82"/>
        <item x="169"/>
        <item x="269"/>
        <item x="265"/>
        <item x="16"/>
        <item x="478"/>
        <item x="479"/>
        <item x="174"/>
        <item x="396"/>
        <item x="214"/>
        <item x="418"/>
        <item x="247"/>
        <item x="480"/>
        <item x="61"/>
        <item x="77"/>
        <item x="411"/>
        <item x="35"/>
        <item x="385"/>
        <item x="138"/>
        <item x="180"/>
        <item x="17"/>
        <item x="189"/>
        <item x="62"/>
        <item x="83"/>
        <item x="315"/>
        <item x="295"/>
        <item x="236"/>
        <item x="42"/>
        <item x="309"/>
        <item x="457"/>
        <item x="110"/>
        <item x="215"/>
        <item x="283"/>
        <item x="353"/>
        <item x="23"/>
        <item x="237"/>
        <item x="90"/>
        <item x="67"/>
        <item x="7"/>
        <item x="49"/>
        <item x="386"/>
        <item x="424"/>
        <item x="391"/>
        <item x="387"/>
        <item x="145"/>
        <item x="481"/>
        <item x="434"/>
        <item x="202"/>
        <item x="228"/>
        <item x="320"/>
        <item x="113"/>
        <item x="388"/>
        <item x="146"/>
        <item x="160"/>
        <item x="425"/>
        <item x="270"/>
        <item x="397"/>
        <item x="185"/>
        <item x="75"/>
        <item x="354"/>
        <item x="412"/>
        <item x="350"/>
        <item x="181"/>
        <item x="142"/>
        <item x="426"/>
        <item x="190"/>
        <item x="459"/>
        <item x="203"/>
        <item x="91"/>
        <item x="114"/>
        <item x="467"/>
        <item x="50"/>
        <item x="343"/>
        <item x="8"/>
        <item x="284"/>
        <item x="398"/>
        <item x="296"/>
        <item x="378"/>
        <item x="443"/>
        <item x="100"/>
        <item x="305"/>
        <item x="327"/>
        <item x="229"/>
        <item x="253"/>
        <item x="175"/>
        <item x="271"/>
        <item x="68"/>
        <item x="38"/>
        <item x="84"/>
        <item x="403"/>
        <item x="207"/>
        <item x="43"/>
        <item x="147"/>
        <item x="176"/>
        <item x="120"/>
        <item x="9"/>
        <item x="11"/>
        <item x="92"/>
        <item x="468"/>
        <item x="497"/>
        <item x="277"/>
        <item x="460"/>
        <item x="404"/>
        <item x="245"/>
        <item x="451"/>
        <item x="204"/>
        <item x="93"/>
        <item x="233"/>
        <item x="285"/>
        <item x="69"/>
        <item x="266"/>
        <item x="212"/>
        <item x="461"/>
        <item x="195"/>
        <item x="431"/>
        <item x="55"/>
        <item x="469"/>
        <item x="361"/>
        <item x="419"/>
        <item x="420"/>
        <item x="365"/>
        <item x="355"/>
        <item x="413"/>
        <item x="216"/>
        <item x="482"/>
        <item x="260"/>
        <item x="369"/>
        <item x="170"/>
        <item x="2"/>
        <item x="44"/>
        <item x="470"/>
        <item x="254"/>
        <item x="230"/>
        <item x="36"/>
        <item x="427"/>
        <item x="414"/>
        <item x="255"/>
        <item x="217"/>
        <item x="428"/>
        <item x="24"/>
        <item x="3"/>
        <item x="487"/>
        <item x="205"/>
        <item x="471"/>
        <item x="234"/>
        <item x="51"/>
        <item x="12"/>
        <item x="356"/>
        <item x="447"/>
        <item x="246"/>
        <item x="389"/>
        <item x="267"/>
        <item x="362"/>
        <item x="242"/>
        <item x="208"/>
        <item x="321"/>
        <item x="218"/>
        <item x="107"/>
        <item x="370"/>
        <item x="488"/>
        <item x="432"/>
        <item x="392"/>
        <item x="45"/>
        <item x="177"/>
        <item x="310"/>
        <item x="278"/>
        <item x="182"/>
        <item x="290"/>
        <item x="279"/>
        <item x="371"/>
        <item x="39"/>
        <item x="452"/>
        <item x="25"/>
        <item x="322"/>
        <item x="223"/>
        <item x="248"/>
        <item x="393"/>
        <item x="70"/>
        <item x="161"/>
        <item x="56"/>
        <item x="191"/>
        <item x="192"/>
        <item x="94"/>
        <item x="316"/>
        <item x="193"/>
        <item x="489"/>
        <item x="101"/>
        <item x="71"/>
        <item x="415"/>
        <item x="366"/>
        <item x="125"/>
        <item x="26"/>
        <item x="272"/>
        <item x="148"/>
        <item x="297"/>
        <item x="291"/>
        <item x="111"/>
        <item x="162"/>
        <item x="338"/>
        <item x="183"/>
        <item x="280"/>
        <item x="63"/>
        <item x="18"/>
        <item x="311"/>
        <item x="57"/>
        <item x="196"/>
        <item x="102"/>
        <item x="444"/>
        <item x="379"/>
        <item x="163"/>
        <item x="78"/>
        <item x="85"/>
        <item x="399"/>
        <item x="79"/>
        <item x="394"/>
        <item x="453"/>
        <item x="4"/>
        <item x="357"/>
        <item x="323"/>
        <item x="238"/>
        <item x="231"/>
        <item x="46"/>
        <item x="490"/>
        <item x="27"/>
        <item x="405"/>
        <item x="395"/>
        <item x="454"/>
        <item x="134"/>
        <item x="197"/>
        <item x="331"/>
        <item x="474"/>
        <item x="498"/>
        <item x="86"/>
        <item x="472"/>
        <item x="126"/>
        <item x="319"/>
        <item x="58"/>
        <item x="332"/>
        <item x="59"/>
        <item x="281"/>
        <item x="435"/>
        <item x="28"/>
        <item x="178"/>
        <item x="224"/>
        <item x="108"/>
        <item x="95"/>
        <item x="225"/>
        <item x="372"/>
        <item x="232"/>
        <item x="324"/>
        <item x="407"/>
        <item x="19"/>
        <item x="344"/>
        <item x="448"/>
        <item x="436"/>
        <item x="103"/>
        <item x="455"/>
        <item x="421"/>
        <item x="186"/>
        <item x="317"/>
        <item x="104"/>
        <item x="226"/>
        <item x="292"/>
        <item x="47"/>
        <item x="325"/>
        <item x="96"/>
        <item x="293"/>
        <item x="499"/>
        <item x="491"/>
        <item x="87"/>
        <item x="115"/>
        <item x="219"/>
        <item x="164"/>
        <item x="97"/>
        <item x="312"/>
        <item x="116"/>
        <item x="351"/>
        <item x="29"/>
        <item x="492"/>
        <item x="306"/>
        <item x="300"/>
        <item x="286"/>
        <item x="273"/>
        <item x="139"/>
        <item x="198"/>
        <item x="98"/>
        <item x="199"/>
        <item x="171"/>
        <item x="72"/>
        <item x="380"/>
        <item x="206"/>
        <item x="483"/>
        <item x="307"/>
        <item x="64"/>
        <item x="151"/>
        <item x="37"/>
        <item x="367"/>
        <item x="76"/>
        <item x="462"/>
        <item x="30"/>
        <item x="227"/>
        <item x="239"/>
        <item x="390"/>
        <item x="73"/>
        <item x="345"/>
        <item x="373"/>
        <item x="31"/>
        <item x="298"/>
        <item x="374"/>
        <item x="381"/>
        <item x="382"/>
        <item x="313"/>
        <item x="449"/>
        <item x="13"/>
        <item x="256"/>
        <item x="368"/>
        <item x="458"/>
        <item x="117"/>
        <item x="109"/>
        <item x="130"/>
        <item x="257"/>
        <item x="249"/>
        <item x="464"/>
        <item x="346"/>
        <item x="200"/>
        <item x="333"/>
        <item x="131"/>
        <item x="143"/>
        <item x="437"/>
        <item x="220"/>
        <item x="88"/>
        <item x="243"/>
        <item x="32"/>
        <item x="274"/>
        <item x="135"/>
        <item x="105"/>
        <item x="157"/>
        <item x="400"/>
        <item x="250"/>
        <item x="433"/>
        <item x="251"/>
        <item x="475"/>
        <item x="406"/>
        <item x="328"/>
        <item x="121"/>
        <item x="127"/>
        <item x="187"/>
        <item x="209"/>
        <item x="106"/>
        <item x="132"/>
        <item x="463"/>
        <item x="10"/>
        <item x="122"/>
        <item x="318"/>
        <item x="422"/>
        <item x="301"/>
        <item x="168"/>
        <item x="476"/>
        <item x="360"/>
        <item x="408"/>
        <item x="423"/>
        <item x="112"/>
        <item x="438"/>
        <item x="383"/>
        <item x="302"/>
        <item x="258"/>
        <item x="484"/>
        <item x="326"/>
        <item x="52"/>
        <item x="339"/>
        <item x="118"/>
        <item x="80"/>
        <item x="65"/>
        <item x="287"/>
        <item x="288"/>
        <item x="429"/>
        <item x="165"/>
        <item x="33"/>
        <item x="334"/>
        <item x="20"/>
        <item x="493"/>
        <item t="default"/>
      </items>
    </pivotField>
    <pivotField axis="axisRow"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compact="0" showAll="0"/>
    <pivotField compact="0" showAll="0"/>
    <pivotField dataField="1" compact="0" showAll="0">
      <items count="3">
        <item x="1"/>
        <item x="0"/>
        <item t="default"/>
      </items>
    </pivotField>
  </pivotFields>
  <rowFields count="2">
    <field x="1"/>
    <field x="0"/>
  </rowFields>
  <rowItems count="599">
    <i>
      <x/>
    </i>
    <i r="1">
      <x v="46"/>
    </i>
    <i r="1">
      <x v="111"/>
    </i>
    <i r="1">
      <x v="247"/>
    </i>
    <i r="1">
      <x v="259"/>
    </i>
    <i r="1">
      <x v="335"/>
    </i>
    <i>
      <x v="1"/>
    </i>
    <i r="1">
      <x v="70"/>
    </i>
    <i r="1">
      <x v="98"/>
    </i>
    <i r="1">
      <x v="157"/>
    </i>
    <i r="1">
      <x v="192"/>
    </i>
    <i r="1">
      <x v="214"/>
    </i>
    <i r="1">
      <x v="470"/>
    </i>
    <i>
      <x v="2"/>
    </i>
    <i r="1">
      <x v="215"/>
    </i>
    <i r="1">
      <x v="265"/>
    </i>
    <i r="1">
      <x v="432"/>
    </i>
    <i>
      <x v="3"/>
    </i>
    <i r="1">
      <x v="4"/>
    </i>
    <i r="1">
      <x v="7"/>
    </i>
    <i r="1">
      <x v="123"/>
    </i>
    <i r="1">
      <x v="139"/>
    </i>
    <i r="1">
      <x v="321"/>
    </i>
    <i r="1">
      <x v="370"/>
    </i>
    <i>
      <x v="4"/>
    </i>
    <i r="1">
      <x v="498"/>
    </i>
    <i>
      <x v="5"/>
    </i>
    <i r="1">
      <x v="12"/>
    </i>
    <i r="1">
      <x v="96"/>
    </i>
    <i r="1">
      <x v="153"/>
    </i>
    <i r="1">
      <x v="258"/>
    </i>
    <i r="1">
      <x v="291"/>
    </i>
    <i r="1">
      <x v="310"/>
    </i>
    <i r="1">
      <x v="342"/>
    </i>
    <i r="1">
      <x v="360"/>
    </i>
    <i r="1">
      <x v="396"/>
    </i>
    <i r="1">
      <x v="418"/>
    </i>
    <i r="1">
      <x v="425"/>
    </i>
    <i r="1">
      <x v="451"/>
    </i>
    <i r="1">
      <x v="496"/>
    </i>
    <i>
      <x v="6"/>
    </i>
    <i r="1">
      <x v="100"/>
    </i>
    <i r="1">
      <x v="135"/>
    </i>
    <i r="1">
      <x v="252"/>
    </i>
    <i r="1">
      <x v="414"/>
    </i>
    <i>
      <x v="7"/>
    </i>
    <i r="1">
      <x v="206"/>
    </i>
    <i r="1">
      <x v="289"/>
    </i>
    <i>
      <x v="8"/>
    </i>
    <i r="1">
      <x v="42"/>
    </i>
    <i r="1">
      <x v="101"/>
    </i>
    <i r="1">
      <x v="146"/>
    </i>
    <i r="1">
      <x v="210"/>
    </i>
    <i r="1">
      <x v="248"/>
    </i>
    <i r="1">
      <x v="281"/>
    </i>
    <i r="1">
      <x v="340"/>
    </i>
    <i r="1">
      <x v="382"/>
    </i>
    <i>
      <x v="9"/>
    </i>
    <i r="1">
      <x v="117"/>
    </i>
    <i r="1">
      <x v="158"/>
    </i>
    <i r="1">
      <x v="190"/>
    </i>
    <i r="1">
      <x v="264"/>
    </i>
    <i r="1">
      <x v="487"/>
    </i>
    <i>
      <x v="10"/>
    </i>
    <i r="1">
      <x v="53"/>
    </i>
    <i r="1">
      <x v="81"/>
    </i>
    <i r="1">
      <x v="234"/>
    </i>
    <i r="1">
      <x v="298"/>
    </i>
    <i r="1">
      <x v="323"/>
    </i>
    <i r="1">
      <x v="355"/>
    </i>
    <i r="1">
      <x v="357"/>
    </i>
    <i>
      <x v="11"/>
    </i>
    <i r="1">
      <x v="24"/>
    </i>
    <i r="1">
      <x v="132"/>
    </i>
    <i r="1">
      <x v="141"/>
    </i>
    <i r="1">
      <x v="320"/>
    </i>
    <i r="1">
      <x v="412"/>
    </i>
    <i r="1">
      <x v="491"/>
    </i>
    <i>
      <x v="12"/>
    </i>
    <i r="1">
      <x v="93"/>
    </i>
    <i r="1">
      <x v="156"/>
    </i>
    <i r="1">
      <x v="205"/>
    </i>
    <i r="1">
      <x v="228"/>
    </i>
    <i r="1">
      <x v="296"/>
    </i>
    <i r="1">
      <x v="306"/>
    </i>
    <i r="1">
      <x v="407"/>
    </i>
    <i r="1">
      <x v="422"/>
    </i>
    <i>
      <x v="13"/>
    </i>
    <i r="1">
      <x v="67"/>
    </i>
    <i r="1">
      <x v="177"/>
    </i>
    <i r="1">
      <x v="416"/>
    </i>
    <i>
      <x v="14"/>
    </i>
    <i r="1">
      <x v="133"/>
    </i>
    <i r="1">
      <x v="329"/>
    </i>
    <i r="1">
      <x v="332"/>
    </i>
    <i r="1">
      <x v="490"/>
    </i>
    <i>
      <x v="15"/>
    </i>
    <i r="1">
      <x v="104"/>
    </i>
    <i r="1">
      <x v="119"/>
    </i>
    <i r="1">
      <x v="142"/>
    </i>
    <i r="1">
      <x v="207"/>
    </i>
    <i r="1">
      <x v="330"/>
    </i>
    <i r="1">
      <x v="351"/>
    </i>
    <i r="1">
      <x v="388"/>
    </i>
    <i r="1">
      <x v="449"/>
    </i>
    <i>
      <x v="16"/>
    </i>
    <i r="1">
      <x v="51"/>
    </i>
    <i r="1">
      <x v="155"/>
    </i>
    <i r="1">
      <x v="187"/>
    </i>
    <i r="1">
      <x v="216"/>
    </i>
    <i r="1">
      <x v="225"/>
    </i>
    <i r="1">
      <x v="301"/>
    </i>
    <i r="1">
      <x v="364"/>
    </i>
    <i r="1">
      <x v="384"/>
    </i>
    <i r="1">
      <x v="392"/>
    </i>
    <i r="1">
      <x v="404"/>
    </i>
    <i>
      <x v="17"/>
    </i>
    <i r="1">
      <x v="33"/>
    </i>
    <i r="1">
      <x v="198"/>
    </i>
    <i r="1">
      <x v="305"/>
    </i>
    <i r="1">
      <x v="325"/>
    </i>
    <i r="1">
      <x v="374"/>
    </i>
    <i r="1">
      <x v="379"/>
    </i>
    <i r="1">
      <x v="454"/>
    </i>
    <i r="1">
      <x v="467"/>
    </i>
    <i>
      <x v="18"/>
    </i>
    <i r="1">
      <x v="276"/>
    </i>
    <i r="1">
      <x v="363"/>
    </i>
    <i r="1">
      <x v="437"/>
    </i>
    <i>
      <x v="19"/>
    </i>
    <i r="1">
      <x v="149"/>
    </i>
    <i>
      <x v="20"/>
    </i>
    <i r="1">
      <x v="315"/>
    </i>
    <i r="1">
      <x v="480"/>
    </i>
    <i>
      <x v="21"/>
    </i>
    <i r="1">
      <x v="169"/>
    </i>
    <i r="1">
      <x v="188"/>
    </i>
    <i r="1">
      <x v="389"/>
    </i>
    <i r="1">
      <x v="394"/>
    </i>
    <i r="1">
      <x v="436"/>
    </i>
    <i r="1">
      <x v="489"/>
    </i>
    <i>
      <x v="22"/>
    </i>
    <i r="1">
      <x v="110"/>
    </i>
    <i r="1">
      <x v="213"/>
    </i>
    <i r="1">
      <x v="463"/>
    </i>
    <i r="1">
      <x v="471"/>
    </i>
    <i>
      <x v="23"/>
    </i>
    <i r="1">
      <x v="54"/>
    </i>
    <i r="1">
      <x v="78"/>
    </i>
    <i r="1">
      <x v="309"/>
    </i>
    <i r="1">
      <x v="353"/>
    </i>
    <i r="1">
      <x v="464"/>
    </i>
    <i>
      <x v="24"/>
    </i>
    <i r="1">
      <x v="17"/>
    </i>
    <i r="1">
      <x v="91"/>
    </i>
    <i r="1">
      <x v="438"/>
    </i>
    <i r="1">
      <x v="445"/>
    </i>
    <i r="1">
      <x v="468"/>
    </i>
    <i>
      <x v="25"/>
    </i>
    <i r="1">
      <x v="25"/>
    </i>
    <i r="1">
      <x v="346"/>
    </i>
    <i r="1">
      <x v="453"/>
    </i>
    <i>
      <x v="26"/>
    </i>
    <i r="1">
      <x v="20"/>
    </i>
    <i r="1">
      <x v="44"/>
    </i>
    <i r="1">
      <x v="137"/>
    </i>
    <i r="1">
      <x v="402"/>
    </i>
    <i>
      <x v="27"/>
    </i>
    <i r="1">
      <x v="59"/>
    </i>
    <i r="1">
      <x v="84"/>
    </i>
    <i r="1">
      <x v="182"/>
    </i>
    <i r="1">
      <x v="446"/>
    </i>
    <i>
      <x v="28"/>
    </i>
    <i r="1">
      <x v="41"/>
    </i>
    <i r="1">
      <x v="163"/>
    </i>
    <i r="1">
      <x v="171"/>
    </i>
    <i r="1">
      <x v="211"/>
    </i>
    <i r="1">
      <x v="312"/>
    </i>
    <i>
      <x v="29"/>
    </i>
    <i r="1">
      <x v="39"/>
    </i>
    <i r="1">
      <x v="61"/>
    </i>
    <i r="1">
      <x v="413"/>
    </i>
    <i>
      <x v="30"/>
    </i>
    <i r="1">
      <x v="26"/>
    </i>
    <i r="1">
      <x v="29"/>
    </i>
    <i r="1">
      <x v="60"/>
    </i>
    <i r="1">
      <x v="75"/>
    </i>
    <i r="1">
      <x v="76"/>
    </i>
    <i r="1">
      <x v="455"/>
    </i>
    <i>
      <x v="31"/>
    </i>
    <i r="1">
      <x v="57"/>
    </i>
    <i r="1">
      <x v="89"/>
    </i>
    <i r="1">
      <x v="172"/>
    </i>
    <i r="1">
      <x v="297"/>
    </i>
    <i r="1">
      <x v="316"/>
    </i>
    <i r="1">
      <x v="328"/>
    </i>
    <i r="1">
      <x v="391"/>
    </i>
    <i r="1">
      <x v="495"/>
    </i>
    <i>
      <x v="32"/>
    </i>
    <i r="1">
      <x v="79"/>
    </i>
    <i r="1">
      <x v="109"/>
    </i>
    <i r="1">
      <x v="475"/>
    </i>
    <i>
      <x v="33"/>
    </i>
    <i r="1">
      <x v="120"/>
    </i>
    <i r="1">
      <x v="246"/>
    </i>
    <i r="1">
      <x v="406"/>
    </i>
    <i>
      <x v="34"/>
    </i>
    <i r="1">
      <x v="5"/>
    </i>
    <i r="1">
      <x v="38"/>
    </i>
    <i r="1">
      <x v="126"/>
    </i>
    <i r="1">
      <x v="203"/>
    </i>
    <i r="1">
      <x v="212"/>
    </i>
    <i r="1">
      <x v="282"/>
    </i>
    <i r="1">
      <x v="361"/>
    </i>
    <i>
      <x v="35"/>
    </i>
    <i r="1">
      <x v="23"/>
    </i>
    <i r="1">
      <x v="138"/>
    </i>
    <i r="1">
      <x v="181"/>
    </i>
    <i r="1">
      <x v="285"/>
    </i>
    <i r="1">
      <x v="318"/>
    </i>
    <i>
      <x v="36"/>
    </i>
    <i r="1">
      <x v="112"/>
    </i>
    <i>
      <x v="37"/>
    </i>
    <i r="1">
      <x v="176"/>
    </i>
    <i r="1">
      <x v="377"/>
    </i>
    <i r="1">
      <x v="465"/>
    </i>
    <i>
      <x v="38"/>
    </i>
    <i r="1">
      <x v="107"/>
    </i>
    <i r="1">
      <x v="140"/>
    </i>
    <i r="1">
      <x v="184"/>
    </i>
    <i r="1">
      <x v="299"/>
    </i>
    <i r="1">
      <x v="300"/>
    </i>
    <i r="1">
      <x v="303"/>
    </i>
    <i>
      <x v="39"/>
    </i>
    <i r="1">
      <x v="90"/>
    </i>
    <i r="1">
      <x v="232"/>
    </i>
    <i r="1">
      <x v="324"/>
    </i>
    <i r="1">
      <x v="347"/>
    </i>
    <i r="1">
      <x v="403"/>
    </i>
    <i r="1">
      <x v="405"/>
    </i>
    <i r="1">
      <x v="443"/>
    </i>
    <i>
      <x v="40"/>
    </i>
    <i r="1">
      <x v="55"/>
    </i>
    <i r="1">
      <x v="166"/>
    </i>
    <i r="1">
      <x v="186"/>
    </i>
    <i r="1">
      <x v="224"/>
    </i>
    <i r="1">
      <x v="261"/>
    </i>
    <i r="1">
      <x v="409"/>
    </i>
    <i>
      <x v="41"/>
    </i>
    <i r="1">
      <x v="209"/>
    </i>
    <i r="1">
      <x v="273"/>
    </i>
    <i r="1">
      <x v="466"/>
    </i>
    <i>
      <x v="42"/>
    </i>
    <i r="1">
      <x v="56"/>
    </i>
    <i r="1">
      <x v="77"/>
    </i>
    <i r="1">
      <x v="230"/>
    </i>
    <i>
      <x v="43"/>
    </i>
    <i r="1">
      <x v="3"/>
    </i>
    <i r="1">
      <x v="128"/>
    </i>
    <i r="1">
      <x v="150"/>
    </i>
    <i r="1">
      <x v="242"/>
    </i>
    <i r="1">
      <x v="256"/>
    </i>
    <i r="1">
      <x v="275"/>
    </i>
    <i r="1">
      <x v="390"/>
    </i>
    <i r="1">
      <x v="448"/>
    </i>
    <i>
      <x v="44"/>
    </i>
    <i r="1">
      <x v="13"/>
    </i>
    <i r="1">
      <x v="94"/>
    </i>
    <i r="1">
      <x v="293"/>
    </i>
    <i r="1">
      <x v="362"/>
    </i>
    <i r="1">
      <x v="365"/>
    </i>
    <i r="1">
      <x v="380"/>
    </i>
    <i r="1">
      <x v="419"/>
    </i>
    <i>
      <x v="45"/>
    </i>
    <i r="1">
      <x v="167"/>
    </i>
    <i r="1">
      <x v="201"/>
    </i>
    <i r="1">
      <x v="251"/>
    </i>
    <i r="1">
      <x v="339"/>
    </i>
    <i r="1">
      <x v="367"/>
    </i>
    <i>
      <x v="46"/>
    </i>
    <i r="1">
      <x v="226"/>
    </i>
    <i r="1">
      <x v="263"/>
    </i>
    <i>
      <x v="47"/>
    </i>
    <i r="1">
      <x v="11"/>
    </i>
    <i r="1">
      <x v="145"/>
    </i>
    <i r="1">
      <x v="154"/>
    </i>
    <i r="1">
      <x v="338"/>
    </i>
    <i r="1">
      <x v="420"/>
    </i>
    <i>
      <x v="48"/>
    </i>
    <i r="1">
      <x v="52"/>
    </i>
    <i r="1">
      <x v="66"/>
    </i>
    <i r="1">
      <x v="272"/>
    </i>
    <i r="1">
      <x v="450"/>
    </i>
    <i>
      <x v="49"/>
    </i>
    <i r="1">
      <x v="16"/>
    </i>
    <i r="1">
      <x v="222"/>
    </i>
    <i r="1">
      <x v="268"/>
    </i>
    <i>
      <x v="50"/>
    </i>
    <i r="1">
      <x v="130"/>
    </i>
    <i r="1">
      <x v="294"/>
    </i>
    <i r="1">
      <x v="440"/>
    </i>
    <i r="1">
      <x v="457"/>
    </i>
    <i r="1">
      <x v="459"/>
    </i>
    <i>
      <x v="51"/>
    </i>
    <i r="1">
      <x v="47"/>
    </i>
    <i r="1">
      <x v="202"/>
    </i>
    <i r="1">
      <x v="250"/>
    </i>
    <i r="1">
      <x v="255"/>
    </i>
    <i r="1">
      <x v="433"/>
    </i>
    <i r="1">
      <x v="439"/>
    </i>
    <i r="1">
      <x v="484"/>
    </i>
    <i>
      <x v="52"/>
    </i>
    <i r="1">
      <x v="115"/>
    </i>
    <i r="1">
      <x v="244"/>
    </i>
    <i>
      <x v="53"/>
    </i>
    <i r="1">
      <x v="10"/>
    </i>
    <i r="1">
      <x v="71"/>
    </i>
    <i r="1">
      <x v="72"/>
    </i>
    <i r="1">
      <x v="74"/>
    </i>
    <i r="1">
      <x v="122"/>
    </i>
    <i r="1">
      <x v="229"/>
    </i>
    <i r="1">
      <x v="270"/>
    </i>
    <i>
      <x v="54"/>
    </i>
    <i r="1">
      <x v="106"/>
    </i>
    <i r="1">
      <x v="121"/>
    </i>
    <i r="1">
      <x v="174"/>
    </i>
    <i r="1">
      <x v="204"/>
    </i>
    <i r="1">
      <x v="311"/>
    </i>
    <i r="1">
      <x v="401"/>
    </i>
    <i r="1">
      <x v="452"/>
    </i>
    <i>
      <x v="55"/>
    </i>
    <i r="1">
      <x v="36"/>
    </i>
    <i r="1">
      <x v="83"/>
    </i>
    <i r="1">
      <x v="219"/>
    </i>
    <i r="1">
      <x v="284"/>
    </i>
    <i r="1">
      <x v="287"/>
    </i>
    <i r="1">
      <x v="319"/>
    </i>
    <i r="1">
      <x v="358"/>
    </i>
    <i>
      <x v="56"/>
    </i>
    <i r="1">
      <x v="27"/>
    </i>
    <i r="1">
      <x v="151"/>
    </i>
    <i r="1">
      <x v="193"/>
    </i>
    <i r="1">
      <x v="227"/>
    </i>
    <i r="1">
      <x v="400"/>
    </i>
    <i r="1">
      <x v="492"/>
    </i>
    <i r="1">
      <x v="493"/>
    </i>
    <i>
      <x v="57"/>
    </i>
    <i r="1">
      <x v="21"/>
    </i>
    <i r="1">
      <x v="286"/>
    </i>
    <i r="1">
      <x v="314"/>
    </i>
    <i r="1">
      <x v="381"/>
    </i>
    <i r="1">
      <x v="385"/>
    </i>
    <i>
      <x v="58"/>
    </i>
    <i r="1">
      <x v="2"/>
    </i>
    <i r="1">
      <x v="144"/>
    </i>
    <i r="1">
      <x v="195"/>
    </i>
    <i r="1">
      <x v="313"/>
    </i>
    <i r="1">
      <x v="426"/>
    </i>
    <i>
      <x v="59"/>
    </i>
    <i r="1">
      <x v="99"/>
    </i>
    <i r="1">
      <x v="399"/>
    </i>
    <i r="1">
      <x v="474"/>
    </i>
    <i r="1">
      <x v="483"/>
    </i>
    <i>
      <x v="60"/>
    </i>
    <i r="1">
      <x v="48"/>
    </i>
    <i r="1">
      <x v="49"/>
    </i>
    <i>
      <x v="61"/>
    </i>
    <i r="1">
      <x v="199"/>
    </i>
    <i r="1">
      <x v="398"/>
    </i>
    <i r="1">
      <x v="411"/>
    </i>
    <i>
      <x v="62"/>
    </i>
    <i r="1">
      <x v="15"/>
    </i>
    <i r="1">
      <x v="147"/>
    </i>
    <i r="1">
      <x v="283"/>
    </i>
    <i r="1">
      <x v="322"/>
    </i>
    <i r="1">
      <x v="393"/>
    </i>
    <i r="1">
      <x v="430"/>
    </i>
    <i>
      <x v="63"/>
    </i>
    <i r="1">
      <x v="22"/>
    </i>
    <i r="1">
      <x v="143"/>
    </i>
    <i r="1">
      <x v="302"/>
    </i>
    <i r="1">
      <x v="378"/>
    </i>
    <i r="1">
      <x v="472"/>
    </i>
    <i>
      <x v="64"/>
    </i>
    <i r="1">
      <x v="354"/>
    </i>
    <i>
      <x v="65"/>
    </i>
    <i r="1">
      <x v="168"/>
    </i>
    <i r="1">
      <x v="274"/>
    </i>
    <i r="1">
      <x v="292"/>
    </i>
    <i r="1">
      <x v="337"/>
    </i>
    <i r="1">
      <x v="368"/>
    </i>
    <i r="1">
      <x v="383"/>
    </i>
    <i r="1">
      <x v="486"/>
    </i>
    <i>
      <x v="66"/>
    </i>
    <i r="1">
      <x v="200"/>
    </i>
    <i r="1">
      <x v="462"/>
    </i>
    <i>
      <x v="67"/>
    </i>
    <i r="1">
      <x v="40"/>
    </i>
    <i r="1">
      <x v="43"/>
    </i>
    <i r="1">
      <x v="348"/>
    </i>
    <i r="1">
      <x v="356"/>
    </i>
    <i r="1">
      <x v="444"/>
    </i>
    <i r="1">
      <x v="497"/>
    </i>
    <i>
      <x v="68"/>
    </i>
    <i r="1">
      <x v="19"/>
    </i>
    <i r="1">
      <x v="35"/>
    </i>
    <i r="1">
      <x v="86"/>
    </i>
    <i r="1">
      <x v="317"/>
    </i>
    <i r="1">
      <x v="488"/>
    </i>
    <i>
      <x v="69"/>
    </i>
    <i r="1">
      <x v="32"/>
    </i>
    <i r="1">
      <x v="80"/>
    </i>
    <i r="1">
      <x v="82"/>
    </i>
    <i r="1">
      <x v="191"/>
    </i>
    <i r="1">
      <x v="371"/>
    </i>
    <i r="1">
      <x v="423"/>
    </i>
    <i r="1">
      <x v="442"/>
    </i>
    <i>
      <x v="70"/>
    </i>
    <i r="1">
      <x v="62"/>
    </i>
    <i r="1">
      <x v="68"/>
    </i>
    <i r="1">
      <x v="103"/>
    </i>
    <i r="1">
      <x v="180"/>
    </i>
    <i r="1">
      <x v="395"/>
    </i>
    <i>
      <x v="71"/>
    </i>
    <i r="1">
      <x v="102"/>
    </i>
    <i r="1">
      <x v="152"/>
    </i>
    <i r="1">
      <x v="178"/>
    </i>
    <i r="1">
      <x v="240"/>
    </i>
    <i r="1">
      <x v="266"/>
    </i>
    <i r="1">
      <x v="336"/>
    </i>
    <i>
      <x v="72"/>
    </i>
    <i r="1">
      <x v="8"/>
    </i>
    <i r="1">
      <x v="65"/>
    </i>
    <i r="1">
      <x v="477"/>
    </i>
    <i>
      <x v="73"/>
    </i>
    <i r="1">
      <x v="236"/>
    </i>
    <i r="1">
      <x v="271"/>
    </i>
    <i>
      <x v="74"/>
    </i>
    <i r="1">
      <x v="9"/>
    </i>
    <i r="1">
      <x v="118"/>
    </i>
    <i r="1">
      <x v="239"/>
    </i>
    <i r="1">
      <x v="308"/>
    </i>
    <i r="1">
      <x v="415"/>
    </i>
    <i r="1">
      <x v="434"/>
    </i>
    <i>
      <x v="75"/>
    </i>
    <i r="1">
      <x v="245"/>
    </i>
    <i r="1">
      <x v="277"/>
    </i>
    <i r="1">
      <x v="288"/>
    </i>
    <i r="1">
      <x v="366"/>
    </i>
    <i r="1">
      <x v="424"/>
    </i>
    <i r="1">
      <x v="427"/>
    </i>
    <i>
      <x v="76"/>
    </i>
    <i r="1">
      <x v="18"/>
    </i>
    <i r="1">
      <x v="73"/>
    </i>
    <i r="1">
      <x v="108"/>
    </i>
    <i r="1">
      <x v="196"/>
    </i>
    <i r="1">
      <x v="327"/>
    </i>
    <i r="1">
      <x v="408"/>
    </i>
    <i r="1">
      <x v="428"/>
    </i>
    <i r="1">
      <x v="429"/>
    </i>
    <i r="1">
      <x v="482"/>
    </i>
    <i>
      <x v="77"/>
    </i>
    <i r="1">
      <x v="14"/>
    </i>
    <i r="1">
      <x v="136"/>
    </i>
    <i r="1">
      <x v="159"/>
    </i>
    <i r="1">
      <x v="162"/>
    </i>
    <i r="1">
      <x v="170"/>
    </i>
    <i r="1">
      <x v="269"/>
    </i>
    <i r="1">
      <x v="421"/>
    </i>
    <i>
      <x v="78"/>
    </i>
    <i r="1">
      <x v="161"/>
    </i>
    <i r="1">
      <x v="280"/>
    </i>
    <i r="1">
      <x v="295"/>
    </i>
    <i r="1">
      <x v="333"/>
    </i>
    <i r="1">
      <x v="344"/>
    </i>
    <i>
      <x v="79"/>
    </i>
    <i r="1">
      <x v="127"/>
    </i>
    <i r="1">
      <x v="175"/>
    </i>
    <i r="1">
      <x v="194"/>
    </i>
    <i r="1">
      <x v="331"/>
    </i>
    <i r="1">
      <x v="456"/>
    </i>
    <i>
      <x v="80"/>
    </i>
    <i r="1">
      <x v="6"/>
    </i>
    <i r="1">
      <x v="116"/>
    </i>
    <i r="1">
      <x v="208"/>
    </i>
    <i r="1">
      <x v="221"/>
    </i>
    <i r="1">
      <x v="343"/>
    </i>
    <i r="1">
      <x v="461"/>
    </i>
    <i>
      <x v="81"/>
    </i>
    <i r="1">
      <x v="369"/>
    </i>
    <i r="1">
      <x v="478"/>
    </i>
    <i>
      <x v="82"/>
    </i>
    <i r="1">
      <x v="69"/>
    </i>
    <i r="1">
      <x v="85"/>
    </i>
    <i r="1">
      <x v="134"/>
    </i>
    <i r="1">
      <x v="179"/>
    </i>
    <i r="1">
      <x v="241"/>
    </i>
    <i r="1">
      <x v="254"/>
    </i>
    <i r="1">
      <x v="307"/>
    </i>
    <i>
      <x v="83"/>
    </i>
    <i r="1">
      <x/>
    </i>
    <i r="1">
      <x v="50"/>
    </i>
    <i r="1">
      <x v="129"/>
    </i>
    <i r="1">
      <x v="237"/>
    </i>
    <i r="1">
      <x v="238"/>
    </i>
    <i r="1">
      <x v="376"/>
    </i>
    <i r="1">
      <x v="473"/>
    </i>
    <i r="1">
      <x v="479"/>
    </i>
    <i>
      <x v="84"/>
    </i>
    <i r="1">
      <x v="160"/>
    </i>
    <i r="1">
      <x v="173"/>
    </i>
    <i r="1">
      <x v="183"/>
    </i>
    <i r="1">
      <x v="253"/>
    </i>
    <i r="1">
      <x v="257"/>
    </i>
    <i r="1">
      <x v="494"/>
    </i>
    <i>
      <x v="85"/>
    </i>
    <i r="1">
      <x v="114"/>
    </i>
    <i r="1">
      <x v="233"/>
    </i>
    <i r="1">
      <x v="279"/>
    </i>
    <i r="1">
      <x v="458"/>
    </i>
    <i>
      <x v="86"/>
    </i>
    <i r="1">
      <x v="165"/>
    </i>
    <i r="1">
      <x v="359"/>
    </i>
    <i r="1">
      <x v="373"/>
    </i>
    <i r="1">
      <x v="447"/>
    </i>
    <i r="1">
      <x v="481"/>
    </i>
    <i>
      <x v="87"/>
    </i>
    <i r="1">
      <x v="1"/>
    </i>
    <i r="1">
      <x v="31"/>
    </i>
    <i r="1">
      <x v="88"/>
    </i>
    <i r="1">
      <x v="97"/>
    </i>
    <i r="1">
      <x v="197"/>
    </i>
    <i r="1">
      <x v="326"/>
    </i>
    <i>
      <x v="88"/>
    </i>
    <i r="1">
      <x v="95"/>
    </i>
    <i r="1">
      <x v="113"/>
    </i>
    <i r="1">
      <x v="267"/>
    </i>
    <i r="1">
      <x v="372"/>
    </i>
    <i r="1">
      <x v="431"/>
    </i>
    <i>
      <x v="89"/>
    </i>
    <i r="1">
      <x v="28"/>
    </i>
    <i r="1">
      <x v="223"/>
    </i>
    <i r="1">
      <x v="290"/>
    </i>
    <i r="1">
      <x v="334"/>
    </i>
    <i r="1">
      <x v="345"/>
    </i>
    <i r="1">
      <x v="375"/>
    </i>
    <i>
      <x v="90"/>
    </i>
    <i r="1">
      <x v="92"/>
    </i>
    <i r="1">
      <x v="148"/>
    </i>
    <i r="1">
      <x v="435"/>
    </i>
    <i>
      <x v="91"/>
    </i>
    <i r="1">
      <x v="185"/>
    </i>
    <i r="1">
      <x v="220"/>
    </i>
    <i r="1">
      <x v="231"/>
    </i>
    <i r="1">
      <x v="417"/>
    </i>
    <i r="1">
      <x v="469"/>
    </i>
    <i>
      <x v="92"/>
    </i>
    <i r="1">
      <x v="441"/>
    </i>
    <i>
      <x v="93"/>
    </i>
    <i r="1">
      <x v="58"/>
    </i>
    <i r="1">
      <x v="87"/>
    </i>
    <i r="1">
      <x v="189"/>
    </i>
    <i r="1">
      <x v="217"/>
    </i>
    <i r="1">
      <x v="235"/>
    </i>
    <i r="1">
      <x v="249"/>
    </i>
    <i r="1">
      <x v="262"/>
    </i>
    <i r="1">
      <x v="352"/>
    </i>
    <i>
      <x v="94"/>
    </i>
    <i r="1">
      <x v="34"/>
    </i>
    <i r="1">
      <x v="349"/>
    </i>
    <i r="1">
      <x v="460"/>
    </i>
    <i r="1">
      <x v="476"/>
    </i>
    <i>
      <x v="95"/>
    </i>
    <i r="1">
      <x v="45"/>
    </i>
    <i r="1">
      <x v="124"/>
    </i>
    <i r="1">
      <x v="125"/>
    </i>
    <i r="1">
      <x v="131"/>
    </i>
    <i r="1">
      <x v="164"/>
    </i>
    <i r="1">
      <x v="243"/>
    </i>
    <i r="1">
      <x v="410"/>
    </i>
    <i r="1">
      <x v="485"/>
    </i>
    <i>
      <x v="96"/>
    </i>
    <i r="1">
      <x v="37"/>
    </i>
    <i r="1">
      <x v="63"/>
    </i>
    <i r="1">
      <x v="260"/>
    </i>
    <i r="1">
      <x v="278"/>
    </i>
    <i r="1">
      <x v="304"/>
    </i>
    <i r="1">
      <x v="341"/>
    </i>
    <i r="1">
      <x v="387"/>
    </i>
    <i r="1">
      <x v="397"/>
    </i>
    <i r="1">
      <x v="499"/>
    </i>
    <i>
      <x v="97"/>
    </i>
    <i r="1">
      <x v="30"/>
    </i>
    <i r="1">
      <x v="64"/>
    </i>
    <i r="1">
      <x v="105"/>
    </i>
    <i r="1">
      <x v="218"/>
    </i>
    <i r="1">
      <x v="350"/>
    </i>
    <i r="1">
      <x v="386"/>
    </i>
    <i t="grand">
      <x/>
    </i>
  </rowItems>
  <colItems count="1">
    <i/>
  </colItems>
  <dataFields count="1">
    <dataField name="Sum of Credi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A000998F-9879-4E15-931E-EE4C0A80810D}" sourceName="Department Name">
  <pivotTables>
    <pivotTable tabId="11" name="PivotTable3"/>
    <pivotTable tabId="12" name="PivotTable4"/>
    <pivotTable tabId="13" name="PivotTable8"/>
  </pivotTables>
  <data>
    <tabular pivotCacheId="304354519">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rage_GPA1" xr10:uid="{3C654C57-5015-4BB0-BDA1-1FF6BFA258DA}" sourceName="Average GPA">
  <pivotTables>
    <pivotTable tabId="10" name="PivotTable2"/>
    <pivotTable tabId="4" name="PivotTable1"/>
    <pivotTable tabId="4" name="PivotTable2"/>
  </pivotTables>
  <data>
    <tabular pivotCacheId="1795828290">
      <items count="5">
        <i x="4" s="1"/>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ester" xr10:uid="{B6C7248F-A252-4AD6-A619-BFA9A832926A}" sourceName="Semester">
  <pivotTables>
    <pivotTable tabId="10" name="PivotTable2"/>
    <pivotTable tabId="4" name="PivotTable1"/>
    <pivotTable tabId="4" name="PivotTable2"/>
  </pivotTables>
  <data>
    <tabular pivotCacheId="1795828290">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xr10:uid="{C0BCD6B7-BF49-4875-954E-301CD1955059}" cache="Slicer_Department_Name" caption="Department Name" columnCount="5" style="SlicerStyleLight3" rowHeight="234950"/>
  <slicer name="Average GPA 1" xr10:uid="{EECD0BC1-CC69-43D1-BE02-E2D608579C20}" cache="Slicer_Average_GPA1" caption="Average GPA" columnCount="5" rowHeight="234950"/>
  <slicer name="Semester" xr10:uid="{30E06249-2464-4C46-86C6-8EE8B488EFF7}" cache="Slicer_Semester" caption="Semester" columnCount="4"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501">
  <autoFilter ref="A1:J501" xr:uid="{00000000-0009-0000-0100-000001000000}"/>
  <tableColumns count="10">
    <tableColumn id="1" xr3:uid="{00000000-0010-0000-0000-000001000000}" name="EnrollmentID"/>
    <tableColumn id="2" xr3:uid="{00000000-0010-0000-0000-000002000000}" name="StudentID"/>
    <tableColumn id="3" xr3:uid="{00000000-0010-0000-0000-000003000000}" name="CourseID"/>
    <tableColumn id="4" xr3:uid="{00000000-0010-0000-0000-000004000000}" name="Average GPA"/>
    <tableColumn id="5" xr3:uid="{00000000-0010-0000-0000-000005000000}" name="Semester"/>
    <tableColumn id="6" xr3:uid="{00000000-0010-0000-0000-000006000000}" name="StudentName">
      <calculatedColumnFormula>VLOOKUP(B2,Students!$A$1:$C$101,2,FALSE)</calculatedColumnFormula>
    </tableColumn>
    <tableColumn id="7" xr3:uid="{00000000-0010-0000-0000-000007000000}" name="Gender">
      <calculatedColumnFormula>VLOOKUP(B2,Students!$A$1:$C$101,3,FALSE)</calculatedColumnFormula>
    </tableColumn>
    <tableColumn id="8" xr3:uid="{00000000-0010-0000-0000-000008000000}" name="CourseName">
      <calculatedColumnFormula>VLOOKUP(C2,Courses!$A$1:$B$11,2,FALSE)</calculatedColumnFormula>
    </tableColumn>
    <tableColumn id="9" xr3:uid="{00000000-0010-0000-0000-000009000000}" name="Department Name" dataDxfId="9">
      <calculatedColumnFormula>VLOOKUP(B2,Students!$A$1:$E$101,5,0)</calculatedColumnFormula>
    </tableColumn>
    <tableColumn id="10" xr3:uid="{00000000-0010-0000-0000-00000A000000}" name="Credit" dataDxfId="8">
      <calculatedColumnFormula>VLOOKUP(C2,Courses!$A$1:$C$11,3,FALSE)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1:C511" totalsRowShown="0">
  <autoFilter ref="A11:C511" xr:uid="{00000000-0009-0000-0100-000002000000}"/>
  <sortState xmlns:xlrd2="http://schemas.microsoft.com/office/spreadsheetml/2017/richdata2" ref="A11:C511">
    <sortCondition descending="1" ref="C12:C511"/>
  </sortState>
  <tableColumns count="3">
    <tableColumn id="1" xr3:uid="{00000000-0010-0000-0100-000001000000}" name="StudentID" dataDxfId="7"/>
    <tableColumn id="2" xr3:uid="{00000000-0010-0000-0100-000002000000}" name="StudentName">
      <calculatedColumnFormula>VLOOKUP(A12,Table1[[#All],[StudentID]:[StudentName]],5,0)</calculatedColumnFormula>
    </tableColumn>
    <tableColumn id="3" xr3:uid="{00000000-0010-0000-0100-000003000000}" name="Average GPA">
      <calculatedColumnFormula>VLOOKUP(A12,Table1[[#All],[StudentID]:[Average GPA]],3,0)</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2:C18" totalsRowShown="0">
  <autoFilter ref="A12:C18" xr:uid="{00000000-0009-0000-0100-000004000000}"/>
  <sortState xmlns:xlrd2="http://schemas.microsoft.com/office/spreadsheetml/2017/richdata2" ref="A12:C18">
    <sortCondition ref="A12:A17"/>
  </sortState>
  <tableColumns count="3">
    <tableColumn id="1" xr3:uid="{00000000-0010-0000-0200-000001000000}" name="Department Name"/>
    <tableColumn id="2" xr3:uid="{00000000-0010-0000-0200-000002000000}" name="No. of Students per department">
      <calculatedColumnFormula>SUM(B8:B12)</calculatedColumnFormula>
    </tableColumn>
    <tableColumn id="3" xr3:uid="{00000000-0010-0000-0200-000003000000}" name="Average GPA per Department">
      <calculatedColumnFormula>AVERAGE(C8:C12)</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A12:C17" totalsRowShown="0">
  <autoFilter ref="A12:C17" xr:uid="{00000000-0009-0000-0100-000005000000}"/>
  <sortState xmlns:xlrd2="http://schemas.microsoft.com/office/spreadsheetml/2017/richdata2" ref="A12:C17">
    <sortCondition descending="1" ref="C13:C17"/>
  </sortState>
  <tableColumns count="3">
    <tableColumn id="1" xr3:uid="{00000000-0010-0000-0300-000001000000}" name="Semester"/>
    <tableColumn id="2" xr3:uid="{00000000-0010-0000-0300-000002000000}" name="Total Enrollments">
      <calculatedColumnFormula>SUM(B9:B12)</calculatedColumnFormula>
    </tableColumn>
    <tableColumn id="3" xr3:uid="{00000000-0010-0000-0300-000003000000}" name="Average GPA"/>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6" displayName="Table6" ref="A19:F519" totalsRowShown="0">
  <autoFilter ref="A19:F519" xr:uid="{00000000-0009-0000-0100-000006000000}"/>
  <sortState xmlns:xlrd2="http://schemas.microsoft.com/office/spreadsheetml/2017/richdata2" ref="A19:F519">
    <sortCondition ref="B20:B519"/>
  </sortState>
  <tableColumns count="6">
    <tableColumn id="1" xr3:uid="{00000000-0010-0000-0400-000001000000}" name="EnrollmentID"/>
    <tableColumn id="2" xr3:uid="{00000000-0010-0000-0400-000002000000}" name="StudentID" dataDxfId="6">
      <calculatedColumnFormula>VLOOKUP(A20,Combined!$A$1:$C$501,2,FALSE)</calculatedColumnFormula>
    </tableColumn>
    <tableColumn id="7" xr3:uid="{00000000-0010-0000-0400-000007000000}" name="Student Name" dataDxfId="5"/>
    <tableColumn id="3" xr3:uid="{00000000-0010-0000-0400-000003000000}" name="CourseID" dataDxfId="4">
      <calculatedColumnFormula>VLOOKUP(A20,Combined!$A$1:$C$501,3,FALSE)</calculatedColumnFormula>
    </tableColumn>
    <tableColumn id="4" xr3:uid="{00000000-0010-0000-0400-000004000000}" name="CourseName">
      <calculatedColumnFormula>VLOOKUP(D20,Combined!$C$1:$H$501,6,FALSE)</calculatedColumnFormula>
    </tableColumn>
    <tableColumn id="5" xr3:uid="{00000000-0010-0000-0400-000005000000}" name="Credit" dataDxfId="3">
      <calculatedColumnFormula>VLOOKUP(D20,Combined!$C$1:$J$501,8,FALSE)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workbookViewId="0">
      <selection activeCell="H7" sqref="H7"/>
    </sheetView>
  </sheetViews>
  <sheetFormatPr defaultColWidth="9" defaultRowHeight="14.4"/>
  <sheetData>
    <row r="1" spans="1:5">
      <c r="A1" s="22" t="s">
        <v>0</v>
      </c>
      <c r="B1" s="22" t="s">
        <v>1</v>
      </c>
      <c r="C1" s="22" t="s">
        <v>2</v>
      </c>
      <c r="D1" s="22" t="s">
        <v>3</v>
      </c>
      <c r="E1" s="22" t="s">
        <v>4</v>
      </c>
    </row>
    <row r="2" spans="1:5">
      <c r="A2" t="s">
        <v>5</v>
      </c>
      <c r="B2" t="s">
        <v>6</v>
      </c>
      <c r="C2" t="s">
        <v>7</v>
      </c>
      <c r="D2">
        <v>18</v>
      </c>
      <c r="E2" t="s">
        <v>8</v>
      </c>
    </row>
    <row r="3" spans="1:5">
      <c r="A3" t="s">
        <v>9</v>
      </c>
      <c r="B3" t="s">
        <v>10</v>
      </c>
      <c r="C3" t="s">
        <v>7</v>
      </c>
      <c r="D3">
        <v>20</v>
      </c>
      <c r="E3" t="s">
        <v>11</v>
      </c>
    </row>
    <row r="4" spans="1:5">
      <c r="A4" t="s">
        <v>12</v>
      </c>
      <c r="B4" t="s">
        <v>6</v>
      </c>
      <c r="C4" t="s">
        <v>7</v>
      </c>
      <c r="D4">
        <v>24</v>
      </c>
      <c r="E4" t="s">
        <v>11</v>
      </c>
    </row>
    <row r="5" spans="1:5">
      <c r="A5" t="s">
        <v>13</v>
      </c>
      <c r="B5" t="s">
        <v>14</v>
      </c>
      <c r="C5" t="s">
        <v>7</v>
      </c>
      <c r="D5">
        <v>21</v>
      </c>
      <c r="E5" t="s">
        <v>15</v>
      </c>
    </row>
    <row r="6" spans="1:5">
      <c r="A6" t="s">
        <v>16</v>
      </c>
      <c r="B6" t="s">
        <v>17</v>
      </c>
      <c r="C6" t="s">
        <v>7</v>
      </c>
      <c r="D6">
        <v>21</v>
      </c>
      <c r="E6" t="s">
        <v>18</v>
      </c>
    </row>
    <row r="7" spans="1:5">
      <c r="A7" t="s">
        <v>19</v>
      </c>
      <c r="B7" t="s">
        <v>20</v>
      </c>
      <c r="C7" t="s">
        <v>7</v>
      </c>
      <c r="D7">
        <v>25</v>
      </c>
      <c r="E7" t="s">
        <v>18</v>
      </c>
    </row>
    <row r="8" spans="1:5">
      <c r="A8" t="s">
        <v>21</v>
      </c>
      <c r="B8" t="s">
        <v>22</v>
      </c>
      <c r="C8" t="s">
        <v>7</v>
      </c>
      <c r="D8">
        <v>20</v>
      </c>
      <c r="E8" t="s">
        <v>23</v>
      </c>
    </row>
    <row r="9" spans="1:5">
      <c r="A9" t="s">
        <v>24</v>
      </c>
      <c r="B9" t="s">
        <v>25</v>
      </c>
      <c r="C9" t="s">
        <v>26</v>
      </c>
      <c r="D9">
        <v>20</v>
      </c>
      <c r="E9" t="s">
        <v>15</v>
      </c>
    </row>
    <row r="10" spans="1:5">
      <c r="A10" t="s">
        <v>27</v>
      </c>
      <c r="B10" t="s">
        <v>28</v>
      </c>
      <c r="C10" t="s">
        <v>26</v>
      </c>
      <c r="D10">
        <v>19</v>
      </c>
      <c r="E10" t="s">
        <v>11</v>
      </c>
    </row>
    <row r="11" spans="1:5">
      <c r="A11" t="s">
        <v>29</v>
      </c>
      <c r="B11" t="s">
        <v>20</v>
      </c>
      <c r="C11" t="s">
        <v>7</v>
      </c>
      <c r="D11">
        <v>23</v>
      </c>
      <c r="E11" t="s">
        <v>8</v>
      </c>
    </row>
    <row r="12" spans="1:5">
      <c r="A12" t="s">
        <v>30</v>
      </c>
      <c r="B12" t="s">
        <v>31</v>
      </c>
      <c r="C12" t="s">
        <v>26</v>
      </c>
      <c r="D12">
        <v>18</v>
      </c>
      <c r="E12" t="s">
        <v>23</v>
      </c>
    </row>
    <row r="13" spans="1:5">
      <c r="A13" t="s">
        <v>32</v>
      </c>
      <c r="B13" t="s">
        <v>17</v>
      </c>
      <c r="C13" t="s">
        <v>7</v>
      </c>
      <c r="D13">
        <v>24</v>
      </c>
      <c r="E13" t="s">
        <v>11</v>
      </c>
    </row>
    <row r="14" spans="1:5">
      <c r="A14" t="s">
        <v>33</v>
      </c>
      <c r="B14" t="s">
        <v>17</v>
      </c>
      <c r="C14" t="s">
        <v>26</v>
      </c>
      <c r="D14">
        <v>23</v>
      </c>
      <c r="E14" t="s">
        <v>18</v>
      </c>
    </row>
    <row r="15" spans="1:5">
      <c r="A15" t="s">
        <v>34</v>
      </c>
      <c r="B15" t="s">
        <v>10</v>
      </c>
      <c r="C15" t="s">
        <v>7</v>
      </c>
      <c r="D15">
        <v>18</v>
      </c>
      <c r="E15" t="s">
        <v>15</v>
      </c>
    </row>
    <row r="16" spans="1:5">
      <c r="A16" t="s">
        <v>35</v>
      </c>
      <c r="B16" t="s">
        <v>28</v>
      </c>
      <c r="C16" t="s">
        <v>26</v>
      </c>
      <c r="D16">
        <v>19</v>
      </c>
      <c r="E16" t="s">
        <v>15</v>
      </c>
    </row>
    <row r="17" spans="1:5">
      <c r="A17" t="s">
        <v>36</v>
      </c>
      <c r="B17" t="s">
        <v>37</v>
      </c>
      <c r="C17" t="s">
        <v>7</v>
      </c>
      <c r="D17">
        <v>24</v>
      </c>
      <c r="E17" t="s">
        <v>8</v>
      </c>
    </row>
    <row r="18" spans="1:5">
      <c r="A18" t="s">
        <v>38</v>
      </c>
      <c r="B18" t="s">
        <v>39</v>
      </c>
      <c r="C18" t="s">
        <v>26</v>
      </c>
      <c r="D18">
        <v>20</v>
      </c>
      <c r="E18" t="s">
        <v>8</v>
      </c>
    </row>
    <row r="19" spans="1:5">
      <c r="A19" t="s">
        <v>40</v>
      </c>
      <c r="B19" t="s">
        <v>25</v>
      </c>
      <c r="C19" t="s">
        <v>7</v>
      </c>
      <c r="D19">
        <v>22</v>
      </c>
      <c r="E19" t="s">
        <v>11</v>
      </c>
    </row>
    <row r="20" spans="1:5">
      <c r="A20" t="s">
        <v>41</v>
      </c>
      <c r="B20" t="s">
        <v>31</v>
      </c>
      <c r="C20" t="s">
        <v>7</v>
      </c>
      <c r="D20">
        <v>21</v>
      </c>
      <c r="E20" t="s">
        <v>15</v>
      </c>
    </row>
    <row r="21" spans="1:5">
      <c r="A21" t="s">
        <v>42</v>
      </c>
      <c r="B21" t="s">
        <v>39</v>
      </c>
      <c r="C21" t="s">
        <v>26</v>
      </c>
      <c r="D21">
        <v>22</v>
      </c>
      <c r="E21" t="s">
        <v>18</v>
      </c>
    </row>
    <row r="22" spans="1:5">
      <c r="A22" t="s">
        <v>43</v>
      </c>
      <c r="B22" t="s">
        <v>10</v>
      </c>
      <c r="C22" t="s">
        <v>26</v>
      </c>
      <c r="D22">
        <v>18</v>
      </c>
      <c r="E22" t="s">
        <v>15</v>
      </c>
    </row>
    <row r="23" spans="1:5">
      <c r="A23" t="s">
        <v>44</v>
      </c>
      <c r="B23" t="s">
        <v>37</v>
      </c>
      <c r="C23" t="s">
        <v>7</v>
      </c>
      <c r="D23">
        <v>23</v>
      </c>
      <c r="E23" t="s">
        <v>23</v>
      </c>
    </row>
    <row r="24" spans="1:5">
      <c r="A24" t="s">
        <v>45</v>
      </c>
      <c r="B24" t="s">
        <v>22</v>
      </c>
      <c r="C24" t="s">
        <v>7</v>
      </c>
      <c r="D24">
        <v>21</v>
      </c>
      <c r="E24" t="s">
        <v>18</v>
      </c>
    </row>
    <row r="25" spans="1:5">
      <c r="A25" t="s">
        <v>46</v>
      </c>
      <c r="B25" t="s">
        <v>47</v>
      </c>
      <c r="C25" t="s">
        <v>26</v>
      </c>
      <c r="D25">
        <v>21</v>
      </c>
      <c r="E25" t="s">
        <v>23</v>
      </c>
    </row>
    <row r="26" spans="1:5">
      <c r="A26" t="s">
        <v>48</v>
      </c>
      <c r="B26" t="s">
        <v>20</v>
      </c>
      <c r="C26" t="s">
        <v>26</v>
      </c>
      <c r="D26">
        <v>20</v>
      </c>
      <c r="E26" t="s">
        <v>8</v>
      </c>
    </row>
    <row r="27" spans="1:5">
      <c r="A27" t="s">
        <v>49</v>
      </c>
      <c r="B27" t="s">
        <v>50</v>
      </c>
      <c r="C27" t="s">
        <v>7</v>
      </c>
      <c r="D27">
        <v>22</v>
      </c>
      <c r="E27" t="s">
        <v>18</v>
      </c>
    </row>
    <row r="28" spans="1:5">
      <c r="A28" t="s">
        <v>51</v>
      </c>
      <c r="B28" t="s">
        <v>20</v>
      </c>
      <c r="C28" t="s">
        <v>26</v>
      </c>
      <c r="D28">
        <v>23</v>
      </c>
      <c r="E28" t="s">
        <v>15</v>
      </c>
    </row>
    <row r="29" spans="1:5">
      <c r="A29" t="s">
        <v>52</v>
      </c>
      <c r="B29" t="s">
        <v>50</v>
      </c>
      <c r="C29" t="s">
        <v>26</v>
      </c>
      <c r="D29">
        <v>19</v>
      </c>
      <c r="E29" t="s">
        <v>11</v>
      </c>
    </row>
    <row r="30" spans="1:5">
      <c r="A30" t="s">
        <v>53</v>
      </c>
      <c r="B30" t="s">
        <v>37</v>
      </c>
      <c r="C30" t="s">
        <v>7</v>
      </c>
      <c r="D30">
        <v>20</v>
      </c>
      <c r="E30" t="s">
        <v>15</v>
      </c>
    </row>
    <row r="31" spans="1:5">
      <c r="A31" t="s">
        <v>54</v>
      </c>
      <c r="B31" t="s">
        <v>28</v>
      </c>
      <c r="C31" t="s">
        <v>26</v>
      </c>
      <c r="D31">
        <v>19</v>
      </c>
      <c r="E31" t="s">
        <v>23</v>
      </c>
    </row>
    <row r="32" spans="1:5">
      <c r="A32" t="s">
        <v>55</v>
      </c>
      <c r="B32" t="s">
        <v>20</v>
      </c>
      <c r="C32" t="s">
        <v>26</v>
      </c>
      <c r="D32">
        <v>22</v>
      </c>
      <c r="E32" t="s">
        <v>18</v>
      </c>
    </row>
    <row r="33" spans="1:5">
      <c r="A33" t="s">
        <v>56</v>
      </c>
      <c r="B33" t="s">
        <v>37</v>
      </c>
      <c r="C33" t="s">
        <v>7</v>
      </c>
      <c r="D33">
        <v>19</v>
      </c>
      <c r="E33" t="s">
        <v>18</v>
      </c>
    </row>
    <row r="34" spans="1:5">
      <c r="A34" t="s">
        <v>57</v>
      </c>
      <c r="B34" t="s">
        <v>28</v>
      </c>
      <c r="C34" t="s">
        <v>26</v>
      </c>
      <c r="D34">
        <v>23</v>
      </c>
      <c r="E34" t="s">
        <v>11</v>
      </c>
    </row>
    <row r="35" spans="1:5">
      <c r="A35" t="s">
        <v>58</v>
      </c>
      <c r="B35" t="s">
        <v>22</v>
      </c>
      <c r="C35" t="s">
        <v>26</v>
      </c>
      <c r="D35">
        <v>20</v>
      </c>
      <c r="E35" t="s">
        <v>23</v>
      </c>
    </row>
    <row r="36" spans="1:5">
      <c r="A36" t="s">
        <v>59</v>
      </c>
      <c r="B36" t="s">
        <v>14</v>
      </c>
      <c r="C36" t="s">
        <v>26</v>
      </c>
      <c r="D36">
        <v>20</v>
      </c>
      <c r="E36" t="s">
        <v>18</v>
      </c>
    </row>
    <row r="37" spans="1:5">
      <c r="A37" t="s">
        <v>60</v>
      </c>
      <c r="B37" t="s">
        <v>47</v>
      </c>
      <c r="C37" t="s">
        <v>7</v>
      </c>
      <c r="D37">
        <v>22</v>
      </c>
      <c r="E37" t="s">
        <v>18</v>
      </c>
    </row>
    <row r="38" spans="1:5">
      <c r="A38" t="s">
        <v>61</v>
      </c>
      <c r="B38" t="s">
        <v>31</v>
      </c>
      <c r="C38" t="s">
        <v>7</v>
      </c>
      <c r="D38">
        <v>20</v>
      </c>
      <c r="E38" t="s">
        <v>8</v>
      </c>
    </row>
    <row r="39" spans="1:5">
      <c r="A39" t="s">
        <v>62</v>
      </c>
      <c r="B39" t="s">
        <v>28</v>
      </c>
      <c r="C39" t="s">
        <v>7</v>
      </c>
      <c r="D39">
        <v>18</v>
      </c>
      <c r="E39" t="s">
        <v>18</v>
      </c>
    </row>
    <row r="40" spans="1:5">
      <c r="A40" t="s">
        <v>63</v>
      </c>
      <c r="B40" t="s">
        <v>25</v>
      </c>
      <c r="C40" t="s">
        <v>26</v>
      </c>
      <c r="D40">
        <v>18</v>
      </c>
      <c r="E40" t="s">
        <v>11</v>
      </c>
    </row>
    <row r="41" spans="1:5">
      <c r="A41" t="s">
        <v>64</v>
      </c>
      <c r="B41" t="s">
        <v>47</v>
      </c>
      <c r="C41" t="s">
        <v>26</v>
      </c>
      <c r="D41">
        <v>22</v>
      </c>
      <c r="E41" t="s">
        <v>15</v>
      </c>
    </row>
    <row r="42" spans="1:5">
      <c r="A42" t="s">
        <v>65</v>
      </c>
      <c r="B42" t="s">
        <v>14</v>
      </c>
      <c r="C42" t="s">
        <v>7</v>
      </c>
      <c r="D42">
        <v>19</v>
      </c>
      <c r="E42" t="s">
        <v>11</v>
      </c>
    </row>
    <row r="43" spans="1:5">
      <c r="A43" t="s">
        <v>66</v>
      </c>
      <c r="B43" t="s">
        <v>67</v>
      </c>
      <c r="C43" t="s">
        <v>26</v>
      </c>
      <c r="D43">
        <v>19</v>
      </c>
      <c r="E43" t="s">
        <v>18</v>
      </c>
    </row>
    <row r="44" spans="1:5">
      <c r="A44" t="s">
        <v>68</v>
      </c>
      <c r="B44" t="s">
        <v>28</v>
      </c>
      <c r="C44" t="s">
        <v>7</v>
      </c>
      <c r="D44">
        <v>20</v>
      </c>
      <c r="E44" t="s">
        <v>23</v>
      </c>
    </row>
    <row r="45" spans="1:5">
      <c r="A45" t="s">
        <v>69</v>
      </c>
      <c r="B45" t="s">
        <v>17</v>
      </c>
      <c r="C45" t="s">
        <v>7</v>
      </c>
      <c r="D45">
        <v>22</v>
      </c>
      <c r="E45" t="s">
        <v>18</v>
      </c>
    </row>
    <row r="46" spans="1:5">
      <c r="A46" t="s">
        <v>70</v>
      </c>
      <c r="B46" t="s">
        <v>37</v>
      </c>
      <c r="C46" t="s">
        <v>26</v>
      </c>
      <c r="D46">
        <v>21</v>
      </c>
      <c r="E46" t="s">
        <v>18</v>
      </c>
    </row>
    <row r="47" spans="1:5">
      <c r="A47" t="s">
        <v>71</v>
      </c>
      <c r="B47" t="s">
        <v>28</v>
      </c>
      <c r="C47" t="s">
        <v>7</v>
      </c>
      <c r="D47">
        <v>22</v>
      </c>
      <c r="E47" t="s">
        <v>23</v>
      </c>
    </row>
    <row r="48" spans="1:5">
      <c r="A48" t="s">
        <v>72</v>
      </c>
      <c r="B48" t="s">
        <v>6</v>
      </c>
      <c r="C48" t="s">
        <v>26</v>
      </c>
      <c r="D48">
        <v>25</v>
      </c>
      <c r="E48" t="s">
        <v>18</v>
      </c>
    </row>
    <row r="49" spans="1:5">
      <c r="A49" t="s">
        <v>73</v>
      </c>
      <c r="B49" t="s">
        <v>39</v>
      </c>
      <c r="C49" t="s">
        <v>7</v>
      </c>
      <c r="D49">
        <v>21</v>
      </c>
      <c r="E49" t="s">
        <v>15</v>
      </c>
    </row>
    <row r="50" spans="1:5">
      <c r="A50" t="s">
        <v>74</v>
      </c>
      <c r="B50" t="s">
        <v>75</v>
      </c>
      <c r="C50" t="s">
        <v>26</v>
      </c>
      <c r="D50">
        <v>18</v>
      </c>
      <c r="E50" t="s">
        <v>18</v>
      </c>
    </row>
    <row r="51" spans="1:5">
      <c r="A51" t="s">
        <v>76</v>
      </c>
      <c r="B51" t="s">
        <v>17</v>
      </c>
      <c r="C51" t="s">
        <v>7</v>
      </c>
      <c r="D51">
        <v>21</v>
      </c>
      <c r="E51" t="s">
        <v>11</v>
      </c>
    </row>
    <row r="52" spans="1:5">
      <c r="A52" t="s">
        <v>77</v>
      </c>
      <c r="B52" t="s">
        <v>75</v>
      </c>
      <c r="C52" t="s">
        <v>7</v>
      </c>
      <c r="D52">
        <v>21</v>
      </c>
      <c r="E52" t="s">
        <v>11</v>
      </c>
    </row>
    <row r="53" spans="1:5">
      <c r="A53" t="s">
        <v>78</v>
      </c>
      <c r="B53" t="s">
        <v>47</v>
      </c>
      <c r="C53" t="s">
        <v>7</v>
      </c>
      <c r="D53">
        <v>23</v>
      </c>
      <c r="E53" t="s">
        <v>11</v>
      </c>
    </row>
    <row r="54" spans="1:5">
      <c r="A54" t="s">
        <v>79</v>
      </c>
      <c r="B54" t="s">
        <v>17</v>
      </c>
      <c r="C54" t="s">
        <v>7</v>
      </c>
      <c r="D54">
        <v>22</v>
      </c>
      <c r="E54" t="s">
        <v>23</v>
      </c>
    </row>
    <row r="55" spans="1:5">
      <c r="A55" t="s">
        <v>80</v>
      </c>
      <c r="B55" t="s">
        <v>10</v>
      </c>
      <c r="C55" t="s">
        <v>7</v>
      </c>
      <c r="D55">
        <v>25</v>
      </c>
      <c r="E55" t="s">
        <v>15</v>
      </c>
    </row>
    <row r="56" spans="1:5">
      <c r="A56" t="s">
        <v>81</v>
      </c>
      <c r="B56" t="s">
        <v>28</v>
      </c>
      <c r="C56" t="s">
        <v>26</v>
      </c>
      <c r="D56">
        <v>24</v>
      </c>
      <c r="E56" t="s">
        <v>15</v>
      </c>
    </row>
    <row r="57" spans="1:5">
      <c r="A57" t="s">
        <v>82</v>
      </c>
      <c r="B57" t="s">
        <v>75</v>
      </c>
      <c r="C57" t="s">
        <v>7</v>
      </c>
      <c r="D57">
        <v>24</v>
      </c>
      <c r="E57" t="s">
        <v>8</v>
      </c>
    </row>
    <row r="58" spans="1:5">
      <c r="A58" t="s">
        <v>83</v>
      </c>
      <c r="B58" t="s">
        <v>20</v>
      </c>
      <c r="C58" t="s">
        <v>26</v>
      </c>
      <c r="D58">
        <v>25</v>
      </c>
      <c r="E58" t="s">
        <v>11</v>
      </c>
    </row>
    <row r="59" spans="1:5">
      <c r="A59" t="s">
        <v>84</v>
      </c>
      <c r="B59" t="s">
        <v>6</v>
      </c>
      <c r="C59" t="s">
        <v>7</v>
      </c>
      <c r="D59">
        <v>18</v>
      </c>
      <c r="E59" t="s">
        <v>23</v>
      </c>
    </row>
    <row r="60" spans="1:5">
      <c r="A60" t="s">
        <v>85</v>
      </c>
      <c r="B60" t="s">
        <v>67</v>
      </c>
      <c r="C60" t="s">
        <v>26</v>
      </c>
      <c r="D60">
        <v>19</v>
      </c>
      <c r="E60" t="s">
        <v>15</v>
      </c>
    </row>
    <row r="61" spans="1:5">
      <c r="A61" t="s">
        <v>86</v>
      </c>
      <c r="B61" t="s">
        <v>10</v>
      </c>
      <c r="C61" t="s">
        <v>7</v>
      </c>
      <c r="D61">
        <v>25</v>
      </c>
      <c r="E61" t="s">
        <v>15</v>
      </c>
    </row>
    <row r="62" spans="1:5">
      <c r="A62" t="s">
        <v>87</v>
      </c>
      <c r="B62" t="s">
        <v>20</v>
      </c>
      <c r="C62" t="s">
        <v>7</v>
      </c>
      <c r="D62">
        <v>22</v>
      </c>
      <c r="E62" t="s">
        <v>23</v>
      </c>
    </row>
    <row r="63" spans="1:5">
      <c r="A63" t="s">
        <v>88</v>
      </c>
      <c r="B63" t="s">
        <v>10</v>
      </c>
      <c r="C63" t="s">
        <v>7</v>
      </c>
      <c r="D63">
        <v>25</v>
      </c>
      <c r="E63" t="s">
        <v>18</v>
      </c>
    </row>
    <row r="64" spans="1:5">
      <c r="A64" t="s">
        <v>89</v>
      </c>
      <c r="B64" t="s">
        <v>75</v>
      </c>
      <c r="C64" t="s">
        <v>7</v>
      </c>
      <c r="D64">
        <v>18</v>
      </c>
      <c r="E64" t="s">
        <v>11</v>
      </c>
    </row>
    <row r="65" spans="1:5">
      <c r="A65" t="s">
        <v>90</v>
      </c>
      <c r="B65" t="s">
        <v>47</v>
      </c>
      <c r="C65" t="s">
        <v>7</v>
      </c>
      <c r="D65">
        <v>20</v>
      </c>
      <c r="E65" t="s">
        <v>23</v>
      </c>
    </row>
    <row r="66" spans="1:5">
      <c r="A66" t="s">
        <v>91</v>
      </c>
      <c r="B66" t="s">
        <v>39</v>
      </c>
      <c r="C66" t="s">
        <v>26</v>
      </c>
      <c r="D66">
        <v>21</v>
      </c>
      <c r="E66" t="s">
        <v>23</v>
      </c>
    </row>
    <row r="67" spans="1:5">
      <c r="A67" t="s">
        <v>92</v>
      </c>
      <c r="B67" t="s">
        <v>47</v>
      </c>
      <c r="C67" t="s">
        <v>7</v>
      </c>
      <c r="D67">
        <v>20</v>
      </c>
      <c r="E67" t="s">
        <v>23</v>
      </c>
    </row>
    <row r="68" spans="1:5">
      <c r="A68" t="s">
        <v>93</v>
      </c>
      <c r="B68" t="s">
        <v>14</v>
      </c>
      <c r="C68" t="s">
        <v>26</v>
      </c>
      <c r="D68">
        <v>22</v>
      </c>
      <c r="E68" t="s">
        <v>23</v>
      </c>
    </row>
    <row r="69" spans="1:5">
      <c r="A69" t="s">
        <v>94</v>
      </c>
      <c r="B69" t="s">
        <v>22</v>
      </c>
      <c r="C69" t="s">
        <v>26</v>
      </c>
      <c r="D69">
        <v>25</v>
      </c>
      <c r="E69" t="s">
        <v>15</v>
      </c>
    </row>
    <row r="70" spans="1:5">
      <c r="A70" t="s">
        <v>95</v>
      </c>
      <c r="B70" t="s">
        <v>10</v>
      </c>
      <c r="C70" t="s">
        <v>26</v>
      </c>
      <c r="D70">
        <v>21</v>
      </c>
      <c r="E70" t="s">
        <v>11</v>
      </c>
    </row>
    <row r="71" spans="1:5">
      <c r="A71" t="s">
        <v>96</v>
      </c>
      <c r="B71" t="s">
        <v>31</v>
      </c>
      <c r="C71" t="s">
        <v>7</v>
      </c>
      <c r="D71">
        <v>23</v>
      </c>
      <c r="E71" t="s">
        <v>11</v>
      </c>
    </row>
    <row r="72" spans="1:5">
      <c r="A72" t="s">
        <v>97</v>
      </c>
      <c r="B72" t="s">
        <v>14</v>
      </c>
      <c r="C72" t="s">
        <v>26</v>
      </c>
      <c r="D72">
        <v>20</v>
      </c>
      <c r="E72" t="s">
        <v>11</v>
      </c>
    </row>
    <row r="73" spans="1:5">
      <c r="A73" t="s">
        <v>98</v>
      </c>
      <c r="B73" t="s">
        <v>17</v>
      </c>
      <c r="C73" t="s">
        <v>7</v>
      </c>
      <c r="D73">
        <v>20</v>
      </c>
      <c r="E73" t="s">
        <v>11</v>
      </c>
    </row>
    <row r="74" spans="1:5">
      <c r="A74" t="s">
        <v>99</v>
      </c>
      <c r="B74" t="s">
        <v>31</v>
      </c>
      <c r="C74" t="s">
        <v>7</v>
      </c>
      <c r="D74">
        <v>21</v>
      </c>
      <c r="E74" t="s">
        <v>23</v>
      </c>
    </row>
    <row r="75" spans="1:5">
      <c r="A75" t="s">
        <v>100</v>
      </c>
      <c r="B75" t="s">
        <v>75</v>
      </c>
      <c r="C75" t="s">
        <v>7</v>
      </c>
      <c r="D75">
        <v>18</v>
      </c>
      <c r="E75" t="s">
        <v>18</v>
      </c>
    </row>
    <row r="76" spans="1:5">
      <c r="A76" t="s">
        <v>101</v>
      </c>
      <c r="B76" t="s">
        <v>75</v>
      </c>
      <c r="C76" t="s">
        <v>26</v>
      </c>
      <c r="D76">
        <v>23</v>
      </c>
      <c r="E76" t="s">
        <v>8</v>
      </c>
    </row>
    <row r="77" spans="1:5">
      <c r="A77" t="s">
        <v>102</v>
      </c>
      <c r="B77" t="s">
        <v>10</v>
      </c>
      <c r="C77" t="s">
        <v>26</v>
      </c>
      <c r="D77">
        <v>21</v>
      </c>
      <c r="E77" t="s">
        <v>8</v>
      </c>
    </row>
    <row r="78" spans="1:5">
      <c r="A78" t="s">
        <v>103</v>
      </c>
      <c r="B78" t="s">
        <v>20</v>
      </c>
      <c r="C78" t="s">
        <v>7</v>
      </c>
      <c r="D78">
        <v>22</v>
      </c>
      <c r="E78" t="s">
        <v>23</v>
      </c>
    </row>
    <row r="79" spans="1:5">
      <c r="A79" t="s">
        <v>104</v>
      </c>
      <c r="B79" t="s">
        <v>25</v>
      </c>
      <c r="C79" t="s">
        <v>7</v>
      </c>
      <c r="D79">
        <v>18</v>
      </c>
      <c r="E79" t="s">
        <v>23</v>
      </c>
    </row>
    <row r="80" spans="1:5">
      <c r="A80" t="s">
        <v>105</v>
      </c>
      <c r="B80" t="s">
        <v>31</v>
      </c>
      <c r="C80" t="s">
        <v>7</v>
      </c>
      <c r="D80">
        <v>19</v>
      </c>
      <c r="E80" t="s">
        <v>18</v>
      </c>
    </row>
    <row r="81" spans="1:5">
      <c r="A81" t="s">
        <v>106</v>
      </c>
      <c r="B81" t="s">
        <v>10</v>
      </c>
      <c r="C81" t="s">
        <v>26</v>
      </c>
      <c r="D81">
        <v>20</v>
      </c>
      <c r="E81" t="s">
        <v>8</v>
      </c>
    </row>
    <row r="82" spans="1:5">
      <c r="A82" t="s">
        <v>107</v>
      </c>
      <c r="B82" t="s">
        <v>47</v>
      </c>
      <c r="C82" t="s">
        <v>7</v>
      </c>
      <c r="D82">
        <v>21</v>
      </c>
      <c r="E82" t="s">
        <v>8</v>
      </c>
    </row>
    <row r="83" spans="1:5">
      <c r="A83" t="s">
        <v>108</v>
      </c>
      <c r="B83" t="s">
        <v>22</v>
      </c>
      <c r="C83" t="s">
        <v>7</v>
      </c>
      <c r="D83">
        <v>25</v>
      </c>
      <c r="E83" t="s">
        <v>18</v>
      </c>
    </row>
    <row r="84" spans="1:5">
      <c r="A84" t="s">
        <v>109</v>
      </c>
      <c r="B84" t="s">
        <v>67</v>
      </c>
      <c r="C84" t="s">
        <v>26</v>
      </c>
      <c r="D84">
        <v>18</v>
      </c>
      <c r="E84" t="s">
        <v>18</v>
      </c>
    </row>
    <row r="85" spans="1:5">
      <c r="A85" t="s">
        <v>110</v>
      </c>
      <c r="B85" t="s">
        <v>22</v>
      </c>
      <c r="C85" t="s">
        <v>7</v>
      </c>
      <c r="D85">
        <v>20</v>
      </c>
      <c r="E85" t="s">
        <v>8</v>
      </c>
    </row>
    <row r="86" spans="1:5">
      <c r="A86" t="s">
        <v>111</v>
      </c>
      <c r="B86" t="s">
        <v>75</v>
      </c>
      <c r="C86" t="s">
        <v>7</v>
      </c>
      <c r="D86">
        <v>20</v>
      </c>
      <c r="E86" t="s">
        <v>8</v>
      </c>
    </row>
    <row r="87" spans="1:5">
      <c r="A87" t="s">
        <v>112</v>
      </c>
      <c r="B87" t="s">
        <v>22</v>
      </c>
      <c r="C87" t="s">
        <v>7</v>
      </c>
      <c r="D87">
        <v>23</v>
      </c>
      <c r="E87" t="s">
        <v>15</v>
      </c>
    </row>
    <row r="88" spans="1:5">
      <c r="A88" t="s">
        <v>113</v>
      </c>
      <c r="B88" t="s">
        <v>6</v>
      </c>
      <c r="C88" t="s">
        <v>26</v>
      </c>
      <c r="D88">
        <v>25</v>
      </c>
      <c r="E88" t="s">
        <v>8</v>
      </c>
    </row>
    <row r="89" spans="1:5">
      <c r="A89" t="s">
        <v>114</v>
      </c>
      <c r="B89" t="s">
        <v>47</v>
      </c>
      <c r="C89" t="s">
        <v>7</v>
      </c>
      <c r="D89">
        <v>19</v>
      </c>
      <c r="E89" t="s">
        <v>23</v>
      </c>
    </row>
    <row r="90" spans="1:5">
      <c r="A90" t="s">
        <v>115</v>
      </c>
      <c r="B90" t="s">
        <v>37</v>
      </c>
      <c r="C90" t="s">
        <v>26</v>
      </c>
      <c r="D90">
        <v>18</v>
      </c>
      <c r="E90" t="s">
        <v>11</v>
      </c>
    </row>
    <row r="91" spans="1:5">
      <c r="A91" t="s">
        <v>116</v>
      </c>
      <c r="B91" t="s">
        <v>25</v>
      </c>
      <c r="C91" t="s">
        <v>7</v>
      </c>
      <c r="D91">
        <v>22</v>
      </c>
      <c r="E91" t="s">
        <v>15</v>
      </c>
    </row>
    <row r="92" spans="1:5">
      <c r="A92" t="s">
        <v>117</v>
      </c>
      <c r="B92" t="s">
        <v>67</v>
      </c>
      <c r="C92" t="s">
        <v>26</v>
      </c>
      <c r="D92">
        <v>24</v>
      </c>
      <c r="E92" t="s">
        <v>18</v>
      </c>
    </row>
    <row r="93" spans="1:5">
      <c r="A93" t="s">
        <v>118</v>
      </c>
      <c r="B93" t="s">
        <v>14</v>
      </c>
      <c r="C93" t="s">
        <v>7</v>
      </c>
      <c r="D93">
        <v>19</v>
      </c>
      <c r="E93" t="s">
        <v>15</v>
      </c>
    </row>
    <row r="94" spans="1:5">
      <c r="A94" t="s">
        <v>119</v>
      </c>
      <c r="B94" t="s">
        <v>17</v>
      </c>
      <c r="C94" t="s">
        <v>7</v>
      </c>
      <c r="D94">
        <v>23</v>
      </c>
      <c r="E94" t="s">
        <v>18</v>
      </c>
    </row>
    <row r="95" spans="1:5">
      <c r="A95" t="s">
        <v>120</v>
      </c>
      <c r="B95" t="s">
        <v>17</v>
      </c>
      <c r="C95" t="s">
        <v>7</v>
      </c>
      <c r="D95">
        <v>24</v>
      </c>
      <c r="E95" t="s">
        <v>15</v>
      </c>
    </row>
    <row r="96" spans="1:5">
      <c r="A96" t="s">
        <v>121</v>
      </c>
      <c r="B96" t="s">
        <v>14</v>
      </c>
      <c r="C96" t="s">
        <v>26</v>
      </c>
      <c r="D96">
        <v>23</v>
      </c>
      <c r="E96" t="s">
        <v>11</v>
      </c>
    </row>
    <row r="97" spans="1:5">
      <c r="A97" t="s">
        <v>122</v>
      </c>
      <c r="B97" t="s">
        <v>47</v>
      </c>
      <c r="C97" t="s">
        <v>26</v>
      </c>
      <c r="D97">
        <v>21</v>
      </c>
      <c r="E97" t="s">
        <v>15</v>
      </c>
    </row>
    <row r="98" spans="1:5">
      <c r="A98" t="s">
        <v>123</v>
      </c>
      <c r="B98" t="s">
        <v>6</v>
      </c>
      <c r="C98" t="s">
        <v>7</v>
      </c>
      <c r="D98">
        <v>23</v>
      </c>
      <c r="E98" t="s">
        <v>18</v>
      </c>
    </row>
    <row r="99" spans="1:5">
      <c r="A99" t="s">
        <v>124</v>
      </c>
      <c r="B99" t="s">
        <v>47</v>
      </c>
      <c r="C99" t="s">
        <v>26</v>
      </c>
      <c r="D99">
        <v>20</v>
      </c>
      <c r="E99" t="s">
        <v>15</v>
      </c>
    </row>
    <row r="100" spans="1:5">
      <c r="A100" t="s">
        <v>125</v>
      </c>
      <c r="B100" t="s">
        <v>37</v>
      </c>
      <c r="C100" t="s">
        <v>7</v>
      </c>
      <c r="D100">
        <v>20</v>
      </c>
      <c r="E100" t="s">
        <v>23</v>
      </c>
    </row>
    <row r="101" spans="1:5">
      <c r="A101" t="s">
        <v>126</v>
      </c>
      <c r="B101" t="s">
        <v>14</v>
      </c>
      <c r="C101" t="s">
        <v>7</v>
      </c>
      <c r="D101">
        <v>23</v>
      </c>
      <c r="E101"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election activeCell="B1" sqref="B1"/>
    </sheetView>
  </sheetViews>
  <sheetFormatPr defaultColWidth="9" defaultRowHeight="14.4"/>
  <sheetData>
    <row r="1" spans="1:4">
      <c r="A1" s="22" t="s">
        <v>127</v>
      </c>
      <c r="B1" s="22" t="s">
        <v>128</v>
      </c>
      <c r="C1" s="22" t="s">
        <v>129</v>
      </c>
      <c r="D1" s="22" t="s">
        <v>4</v>
      </c>
    </row>
    <row r="2" spans="1:4">
      <c r="A2" t="s">
        <v>130</v>
      </c>
      <c r="B2" t="s">
        <v>131</v>
      </c>
      <c r="C2">
        <v>3</v>
      </c>
      <c r="D2" t="s">
        <v>11</v>
      </c>
    </row>
    <row r="3" spans="1:4">
      <c r="A3" t="s">
        <v>132</v>
      </c>
      <c r="B3" t="s">
        <v>133</v>
      </c>
      <c r="C3">
        <v>4</v>
      </c>
      <c r="D3" t="s">
        <v>11</v>
      </c>
    </row>
    <row r="4" spans="1:4">
      <c r="A4" t="s">
        <v>134</v>
      </c>
      <c r="B4" t="s">
        <v>135</v>
      </c>
      <c r="C4">
        <v>3</v>
      </c>
      <c r="D4" t="s">
        <v>15</v>
      </c>
    </row>
    <row r="5" spans="1:4">
      <c r="A5" t="s">
        <v>136</v>
      </c>
      <c r="B5" t="s">
        <v>137</v>
      </c>
      <c r="C5">
        <v>4</v>
      </c>
      <c r="D5" t="s">
        <v>8</v>
      </c>
    </row>
    <row r="6" spans="1:4">
      <c r="A6" t="s">
        <v>138</v>
      </c>
      <c r="B6" t="s">
        <v>139</v>
      </c>
      <c r="C6">
        <v>3</v>
      </c>
      <c r="D6" t="s">
        <v>11</v>
      </c>
    </row>
    <row r="7" spans="1:4">
      <c r="A7" t="s">
        <v>140</v>
      </c>
      <c r="B7" t="s">
        <v>141</v>
      </c>
      <c r="C7">
        <v>4</v>
      </c>
      <c r="D7" t="s">
        <v>15</v>
      </c>
    </row>
    <row r="8" spans="1:4">
      <c r="A8" t="s">
        <v>142</v>
      </c>
      <c r="B8" t="s">
        <v>143</v>
      </c>
      <c r="C8">
        <v>3</v>
      </c>
      <c r="D8" t="s">
        <v>8</v>
      </c>
    </row>
    <row r="9" spans="1:4">
      <c r="A9" t="s">
        <v>144</v>
      </c>
      <c r="B9" t="s">
        <v>145</v>
      </c>
      <c r="C9">
        <v>4</v>
      </c>
      <c r="D9" t="s">
        <v>23</v>
      </c>
    </row>
    <row r="10" spans="1:4">
      <c r="A10" t="s">
        <v>146</v>
      </c>
      <c r="B10" t="s">
        <v>147</v>
      </c>
      <c r="C10">
        <v>3</v>
      </c>
      <c r="D10" t="s">
        <v>18</v>
      </c>
    </row>
    <row r="11" spans="1:4">
      <c r="A11" t="s">
        <v>148</v>
      </c>
      <c r="B11" t="s">
        <v>149</v>
      </c>
      <c r="C11">
        <v>4</v>
      </c>
      <c r="D11" t="s">
        <v>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19"/>
  <sheetViews>
    <sheetView topLeftCell="A83" workbookViewId="0">
      <selection activeCell="C95" sqref="C95"/>
    </sheetView>
  </sheetViews>
  <sheetFormatPr defaultColWidth="9" defaultRowHeight="14.4"/>
  <cols>
    <col min="7" max="7" width="12.5546875" bestFit="1" customWidth="1"/>
    <col min="8" max="8" width="21.77734375" bestFit="1" customWidth="1"/>
    <col min="14" max="14" width="13.33203125" bestFit="1" customWidth="1"/>
    <col min="15" max="15" width="18.44140625" bestFit="1" customWidth="1"/>
    <col min="16" max="16" width="7.109375" bestFit="1" customWidth="1"/>
    <col min="17" max="17" width="12.5546875" bestFit="1" customWidth="1"/>
    <col min="18" max="18" width="21.77734375" bestFit="1" customWidth="1"/>
    <col min="19" max="19" width="11" bestFit="1" customWidth="1"/>
    <col min="20" max="20" width="7.44140625" bestFit="1" customWidth="1"/>
    <col min="21" max="21" width="14.5546875" bestFit="1" customWidth="1"/>
    <col min="22" max="22" width="9.6640625" bestFit="1" customWidth="1"/>
    <col min="23" max="23" width="16.5546875" bestFit="1" customWidth="1"/>
    <col min="24" max="24" width="15.6640625" bestFit="1" customWidth="1"/>
    <col min="25" max="25" width="10.77734375" bestFit="1" customWidth="1"/>
  </cols>
  <sheetData>
    <row r="1" spans="1:1" ht="23.4">
      <c r="A1" s="23" t="s">
        <v>150</v>
      </c>
    </row>
    <row r="3" spans="1:1" ht="18">
      <c r="A3" s="1" t="s">
        <v>151</v>
      </c>
    </row>
    <row r="5" spans="1:1">
      <c r="A5" t="s">
        <v>152</v>
      </c>
    </row>
    <row r="6" spans="1:1">
      <c r="A6" s="2"/>
    </row>
    <row r="7" spans="1:1">
      <c r="A7" s="2" t="s">
        <v>153</v>
      </c>
    </row>
    <row r="8" spans="1:1">
      <c r="A8" s="2"/>
    </row>
    <row r="9" spans="1:1">
      <c r="A9" s="2" t="s">
        <v>154</v>
      </c>
    </row>
    <row r="10" spans="1:1">
      <c r="A10" s="2"/>
    </row>
    <row r="11" spans="1:1">
      <c r="A11" s="2" t="s">
        <v>155</v>
      </c>
    </row>
    <row r="15" spans="1:1" ht="18">
      <c r="A15" s="1" t="s">
        <v>156</v>
      </c>
    </row>
    <row r="17" spans="1:1">
      <c r="A17" t="s">
        <v>157</v>
      </c>
    </row>
    <row r="18" spans="1:1">
      <c r="A18" s="2"/>
    </row>
    <row r="19" spans="1:1">
      <c r="A19" s="2" t="s">
        <v>158</v>
      </c>
    </row>
    <row r="20" spans="1:1">
      <c r="A20" s="2"/>
    </row>
    <row r="21" spans="1:1">
      <c r="A21" s="2" t="s">
        <v>159</v>
      </c>
    </row>
    <row r="22" spans="1:1">
      <c r="A22" s="2"/>
    </row>
    <row r="23" spans="1:1">
      <c r="A23" s="2" t="s">
        <v>160</v>
      </c>
    </row>
    <row r="27" spans="1:1" ht="18">
      <c r="A27" s="1" t="s">
        <v>161</v>
      </c>
    </row>
    <row r="29" spans="1:1">
      <c r="A29" t="s">
        <v>162</v>
      </c>
    </row>
    <row r="30" spans="1:1">
      <c r="A30" s="2"/>
    </row>
    <row r="31" spans="1:1">
      <c r="A31" s="2" t="s">
        <v>163</v>
      </c>
    </row>
    <row r="32" spans="1:1">
      <c r="A32" s="2"/>
    </row>
    <row r="33" spans="1:1">
      <c r="A33" s="2" t="s">
        <v>164</v>
      </c>
    </row>
    <row r="34" spans="1:1">
      <c r="A34" s="2"/>
    </row>
    <row r="35" spans="1:1">
      <c r="A35" s="2" t="s">
        <v>165</v>
      </c>
    </row>
    <row r="39" spans="1:1" ht="18">
      <c r="A39" s="1" t="s">
        <v>166</v>
      </c>
    </row>
    <row r="41" spans="1:1">
      <c r="A41" t="s">
        <v>167</v>
      </c>
    </row>
    <row r="42" spans="1:1">
      <c r="A42" s="2"/>
    </row>
    <row r="43" spans="1:1">
      <c r="A43" s="2" t="s">
        <v>168</v>
      </c>
    </row>
    <row r="44" spans="1:1">
      <c r="A44" s="2"/>
    </row>
    <row r="45" spans="1:1">
      <c r="A45" s="2" t="s">
        <v>169</v>
      </c>
    </row>
    <row r="46" spans="1:1">
      <c r="A46" s="2"/>
    </row>
    <row r="47" spans="1:1">
      <c r="A47" s="2" t="s">
        <v>170</v>
      </c>
    </row>
    <row r="51" spans="1:1" ht="18">
      <c r="A51" s="1" t="s">
        <v>171</v>
      </c>
    </row>
    <row r="53" spans="1:1">
      <c r="A53" t="s">
        <v>172</v>
      </c>
    </row>
    <row r="54" spans="1:1">
      <c r="A54" s="2"/>
    </row>
    <row r="55" spans="1:1">
      <c r="A55" s="2" t="s">
        <v>173</v>
      </c>
    </row>
    <row r="56" spans="1:1">
      <c r="A56" s="2"/>
    </row>
    <row r="57" spans="1:1">
      <c r="A57" s="2" t="s">
        <v>174</v>
      </c>
    </row>
    <row r="58" spans="1:1">
      <c r="A58" s="2"/>
    </row>
    <row r="59" spans="1:1">
      <c r="A59" s="2" t="s">
        <v>175</v>
      </c>
    </row>
    <row r="63" spans="1:1" ht="18">
      <c r="A63" s="1" t="s">
        <v>176</v>
      </c>
    </row>
    <row r="65" spans="1:1">
      <c r="A65" t="s">
        <v>177</v>
      </c>
    </row>
    <row r="66" spans="1:1">
      <c r="A66" s="2"/>
    </row>
    <row r="67" spans="1:1">
      <c r="A67" s="2" t="s">
        <v>178</v>
      </c>
    </row>
    <row r="68" spans="1:1">
      <c r="A68" s="2"/>
    </row>
    <row r="69" spans="1:1">
      <c r="A69" s="2" t="s">
        <v>179</v>
      </c>
    </row>
    <row r="70" spans="1:1">
      <c r="A70" s="2"/>
    </row>
    <row r="71" spans="1:1">
      <c r="A71" s="2" t="s">
        <v>180</v>
      </c>
    </row>
    <row r="72" spans="1:1">
      <c r="A72" s="2"/>
    </row>
    <row r="73" spans="1:1">
      <c r="A73" s="2"/>
    </row>
    <row r="74" spans="1:1">
      <c r="A74" s="3"/>
    </row>
    <row r="75" spans="1:1">
      <c r="A75" s="3" t="s">
        <v>181</v>
      </c>
    </row>
    <row r="76" spans="1:1">
      <c r="A76" s="3"/>
    </row>
    <row r="77" spans="1:1">
      <c r="A77" s="3" t="s">
        <v>182</v>
      </c>
    </row>
    <row r="81" spans="1:14" ht="18">
      <c r="A81" s="1" t="s">
        <v>183</v>
      </c>
    </row>
    <row r="83" spans="1:14">
      <c r="A83" t="s">
        <v>184</v>
      </c>
    </row>
    <row r="84" spans="1:14">
      <c r="A84" s="2"/>
    </row>
    <row r="85" spans="1:14">
      <c r="A85" s="24" t="s">
        <v>185</v>
      </c>
      <c r="H85">
        <v>1</v>
      </c>
      <c r="N85">
        <v>2</v>
      </c>
    </row>
    <row r="86" spans="1:14">
      <c r="A86" s="2"/>
    </row>
    <row r="87" spans="1:14">
      <c r="A87" s="2"/>
    </row>
    <row r="88" spans="1:14">
      <c r="A88" s="3"/>
    </row>
    <row r="89" spans="1:14">
      <c r="A89" s="3" t="s">
        <v>186</v>
      </c>
      <c r="C89">
        <f>COUNTA(Students!A2:A101)</f>
        <v>100</v>
      </c>
    </row>
    <row r="90" spans="1:14">
      <c r="A90" s="3"/>
    </row>
    <row r="91" spans="1:14">
      <c r="A91" s="3" t="s">
        <v>187</v>
      </c>
      <c r="C91">
        <f>COUNTA(Courses!A2:A11)</f>
        <v>10</v>
      </c>
    </row>
    <row r="92" spans="1:14">
      <c r="A92" s="3"/>
    </row>
    <row r="93" spans="1:14">
      <c r="A93" s="3" t="s">
        <v>188</v>
      </c>
      <c r="C93">
        <f>COUNTA(Enrollments!A2:A501)</f>
        <v>500</v>
      </c>
    </row>
    <row r="94" spans="1:14">
      <c r="A94" s="3"/>
    </row>
    <row r="95" spans="1:14">
      <c r="A95" s="3" t="s">
        <v>189</v>
      </c>
      <c r="C95">
        <f>AVERAGE(Table1[Average GPA])</f>
        <v>5.492</v>
      </c>
    </row>
    <row r="96" spans="1:14">
      <c r="A96" s="2"/>
    </row>
    <row r="97" spans="1:15">
      <c r="A97" s="24" t="s">
        <v>190</v>
      </c>
    </row>
    <row r="98" spans="1:15">
      <c r="A98" s="2"/>
    </row>
    <row r="99" spans="1:15">
      <c r="A99" s="2"/>
    </row>
    <row r="100" spans="1:15">
      <c r="A100" s="3"/>
    </row>
    <row r="101" spans="1:15">
      <c r="A101" s="3" t="s">
        <v>191</v>
      </c>
      <c r="N101" s="25" t="s">
        <v>128</v>
      </c>
      <c r="O101" t="s">
        <v>739</v>
      </c>
    </row>
    <row r="102" spans="1:15">
      <c r="A102" s="3"/>
      <c r="I102">
        <v>3</v>
      </c>
      <c r="M102">
        <v>4</v>
      </c>
    </row>
    <row r="103" spans="1:15">
      <c r="A103" s="3" t="s">
        <v>192</v>
      </c>
      <c r="N103" s="25" t="s">
        <v>737</v>
      </c>
      <c r="O103" t="s">
        <v>738</v>
      </c>
    </row>
    <row r="104" spans="1:15">
      <c r="A104" s="3"/>
      <c r="N104" s="26" t="s">
        <v>37</v>
      </c>
      <c r="O104">
        <v>10</v>
      </c>
    </row>
    <row r="105" spans="1:15">
      <c r="A105" s="3" t="s">
        <v>193</v>
      </c>
      <c r="N105" s="26" t="s">
        <v>28</v>
      </c>
      <c r="O105">
        <v>10</v>
      </c>
    </row>
    <row r="106" spans="1:15">
      <c r="A106" s="3"/>
      <c r="G106" s="25" t="s">
        <v>737</v>
      </c>
      <c r="H106" t="s">
        <v>712</v>
      </c>
      <c r="N106" s="26" t="s">
        <v>47</v>
      </c>
      <c r="O106">
        <v>10</v>
      </c>
    </row>
    <row r="107" spans="1:15">
      <c r="A107" s="3" t="s">
        <v>194</v>
      </c>
      <c r="G107" s="26" t="s">
        <v>204</v>
      </c>
      <c r="H107">
        <v>5.2521739130434781</v>
      </c>
      <c r="N107" s="26" t="s">
        <v>10</v>
      </c>
      <c r="O107">
        <v>10</v>
      </c>
    </row>
    <row r="108" spans="1:15">
      <c r="A108" s="2"/>
      <c r="G108" s="26" t="s">
        <v>210</v>
      </c>
      <c r="H108">
        <v>5.5524475524475525</v>
      </c>
      <c r="N108" s="26" t="s">
        <v>14</v>
      </c>
      <c r="O108">
        <v>10</v>
      </c>
    </row>
    <row r="109" spans="1:15">
      <c r="A109" s="24" t="s">
        <v>195</v>
      </c>
      <c r="G109" s="26" t="s">
        <v>201</v>
      </c>
      <c r="H109">
        <v>5.5714285714285712</v>
      </c>
      <c r="N109" s="26" t="s">
        <v>20</v>
      </c>
      <c r="O109">
        <v>10</v>
      </c>
    </row>
    <row r="110" spans="1:15">
      <c r="G110" s="26" t="s">
        <v>207</v>
      </c>
      <c r="H110">
        <v>5.569230769230769</v>
      </c>
      <c r="N110" s="26" t="s">
        <v>50</v>
      </c>
      <c r="O110">
        <v>10</v>
      </c>
    </row>
    <row r="111" spans="1:15">
      <c r="G111" s="26" t="s">
        <v>718</v>
      </c>
      <c r="H111">
        <v>5.492</v>
      </c>
      <c r="N111" s="26" t="s">
        <v>22</v>
      </c>
      <c r="O111">
        <v>10</v>
      </c>
    </row>
    <row r="112" spans="1:15">
      <c r="N112" s="26" t="s">
        <v>17</v>
      </c>
      <c r="O112">
        <v>10</v>
      </c>
    </row>
    <row r="113" spans="14:15">
      <c r="N113" s="26" t="s">
        <v>31</v>
      </c>
      <c r="O113">
        <v>10</v>
      </c>
    </row>
    <row r="114" spans="14:15">
      <c r="N114" s="26" t="s">
        <v>67</v>
      </c>
      <c r="O114">
        <v>10</v>
      </c>
    </row>
    <row r="115" spans="14:15">
      <c r="N115" s="26" t="s">
        <v>75</v>
      </c>
      <c r="O115">
        <v>10</v>
      </c>
    </row>
    <row r="116" spans="14:15">
      <c r="N116" s="26" t="s">
        <v>25</v>
      </c>
      <c r="O116">
        <v>10</v>
      </c>
    </row>
    <row r="117" spans="14:15">
      <c r="N117" s="26" t="s">
        <v>6</v>
      </c>
      <c r="O117">
        <v>10</v>
      </c>
    </row>
    <row r="118" spans="14:15">
      <c r="N118" s="26" t="s">
        <v>39</v>
      </c>
      <c r="O118">
        <v>10</v>
      </c>
    </row>
    <row r="119" spans="14:15">
      <c r="N119" s="26" t="s">
        <v>718</v>
      </c>
      <c r="O119">
        <v>10</v>
      </c>
    </row>
  </sheetData>
  <conditionalFormatting pivot="1">
    <cfRule type="top10" dxfId="11" priority="2" rank="10"/>
  </conditionalFormatting>
  <conditionalFormatting pivot="1" sqref="O104:O118">
    <cfRule type="top10" dxfId="10" priority="1" rank="10"/>
  </conditionalFormatting>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01"/>
  <sheetViews>
    <sheetView workbookViewId="0">
      <selection activeCell="C15" sqref="A1:E501"/>
    </sheetView>
  </sheetViews>
  <sheetFormatPr defaultColWidth="9" defaultRowHeight="14.4"/>
  <sheetData>
    <row r="1" spans="1:5">
      <c r="A1" s="22" t="s">
        <v>196</v>
      </c>
      <c r="B1" s="22" t="s">
        <v>0</v>
      </c>
      <c r="C1" s="22" t="s">
        <v>127</v>
      </c>
      <c r="D1" s="22" t="s">
        <v>197</v>
      </c>
      <c r="E1" s="22" t="s">
        <v>198</v>
      </c>
    </row>
    <row r="2" spans="1:5">
      <c r="A2" t="s">
        <v>199</v>
      </c>
      <c r="B2" t="s">
        <v>112</v>
      </c>
      <c r="C2" t="s">
        <v>136</v>
      </c>
      <c r="D2" t="s">
        <v>200</v>
      </c>
      <c r="E2" t="s">
        <v>201</v>
      </c>
    </row>
    <row r="3" spans="1:5">
      <c r="A3" t="s">
        <v>202</v>
      </c>
      <c r="B3" t="s">
        <v>116</v>
      </c>
      <c r="C3" t="s">
        <v>132</v>
      </c>
      <c r="D3" t="s">
        <v>203</v>
      </c>
      <c r="E3" t="s">
        <v>204</v>
      </c>
    </row>
    <row r="4" spans="1:5">
      <c r="A4" t="s">
        <v>205</v>
      </c>
      <c r="B4" t="s">
        <v>87</v>
      </c>
      <c r="C4" t="s">
        <v>136</v>
      </c>
      <c r="D4" t="s">
        <v>206</v>
      </c>
      <c r="E4" t="s">
        <v>207</v>
      </c>
    </row>
    <row r="5" spans="1:5">
      <c r="A5" t="s">
        <v>208</v>
      </c>
      <c r="B5" t="s">
        <v>70</v>
      </c>
      <c r="C5" t="s">
        <v>138</v>
      </c>
      <c r="D5" t="s">
        <v>206</v>
      </c>
      <c r="E5" t="s">
        <v>201</v>
      </c>
    </row>
    <row r="6" spans="1:5">
      <c r="A6" t="s">
        <v>209</v>
      </c>
      <c r="B6" t="s">
        <v>13</v>
      </c>
      <c r="C6" t="s">
        <v>136</v>
      </c>
      <c r="D6" t="s">
        <v>203</v>
      </c>
      <c r="E6" t="s">
        <v>210</v>
      </c>
    </row>
    <row r="7" spans="1:5">
      <c r="A7" t="s">
        <v>211</v>
      </c>
      <c r="B7" t="s">
        <v>60</v>
      </c>
      <c r="C7" t="s">
        <v>132</v>
      </c>
      <c r="D7" t="s">
        <v>200</v>
      </c>
      <c r="E7" t="s">
        <v>210</v>
      </c>
    </row>
    <row r="8" spans="1:5">
      <c r="A8" t="s">
        <v>212</v>
      </c>
      <c r="B8" t="s">
        <v>109</v>
      </c>
      <c r="C8" t="s">
        <v>146</v>
      </c>
      <c r="D8" t="s">
        <v>203</v>
      </c>
      <c r="E8" t="s">
        <v>210</v>
      </c>
    </row>
    <row r="9" spans="1:5">
      <c r="A9" t="s">
        <v>213</v>
      </c>
      <c r="B9" t="s">
        <v>13</v>
      </c>
      <c r="C9" t="s">
        <v>132</v>
      </c>
      <c r="D9" t="s">
        <v>200</v>
      </c>
      <c r="E9" t="s">
        <v>201</v>
      </c>
    </row>
    <row r="10" spans="1:5">
      <c r="A10" t="s">
        <v>214</v>
      </c>
      <c r="B10" t="s">
        <v>101</v>
      </c>
      <c r="C10" t="s">
        <v>138</v>
      </c>
      <c r="D10" t="s">
        <v>215</v>
      </c>
      <c r="E10" t="s">
        <v>204</v>
      </c>
    </row>
    <row r="11" spans="1:5">
      <c r="A11" t="s">
        <v>216</v>
      </c>
      <c r="B11" t="s">
        <v>103</v>
      </c>
      <c r="C11" t="s">
        <v>142</v>
      </c>
      <c r="D11" t="s">
        <v>200</v>
      </c>
      <c r="E11" t="s">
        <v>210</v>
      </c>
    </row>
    <row r="12" spans="1:5">
      <c r="A12" t="s">
        <v>217</v>
      </c>
      <c r="B12" t="s">
        <v>82</v>
      </c>
      <c r="C12" t="s">
        <v>148</v>
      </c>
      <c r="D12" t="s">
        <v>26</v>
      </c>
      <c r="E12" t="s">
        <v>204</v>
      </c>
    </row>
    <row r="13" spans="1:5">
      <c r="A13" t="s">
        <v>218</v>
      </c>
      <c r="B13" t="s">
        <v>76</v>
      </c>
      <c r="C13" t="s">
        <v>148</v>
      </c>
      <c r="D13" t="s">
        <v>206</v>
      </c>
      <c r="E13" t="s">
        <v>210</v>
      </c>
    </row>
    <row r="14" spans="1:5">
      <c r="A14" t="s">
        <v>219</v>
      </c>
      <c r="B14" t="s">
        <v>19</v>
      </c>
      <c r="C14" t="s">
        <v>142</v>
      </c>
      <c r="D14" t="s">
        <v>215</v>
      </c>
      <c r="E14" t="s">
        <v>201</v>
      </c>
    </row>
    <row r="15" spans="1:5">
      <c r="A15" t="s">
        <v>220</v>
      </c>
      <c r="B15" t="s">
        <v>72</v>
      </c>
      <c r="C15" t="s">
        <v>142</v>
      </c>
      <c r="D15" t="s">
        <v>215</v>
      </c>
      <c r="E15" t="s">
        <v>210</v>
      </c>
    </row>
    <row r="16" spans="1:5">
      <c r="A16" t="s">
        <v>221</v>
      </c>
      <c r="B16" t="s">
        <v>106</v>
      </c>
      <c r="C16" t="s">
        <v>140</v>
      </c>
      <c r="D16" t="s">
        <v>215</v>
      </c>
      <c r="E16" t="s">
        <v>210</v>
      </c>
    </row>
    <row r="17" spans="1:5">
      <c r="A17" t="s">
        <v>222</v>
      </c>
      <c r="B17" t="s">
        <v>91</v>
      </c>
      <c r="C17" t="s">
        <v>138</v>
      </c>
      <c r="D17" t="s">
        <v>203</v>
      </c>
      <c r="E17" t="s">
        <v>210</v>
      </c>
    </row>
    <row r="18" spans="1:5">
      <c r="A18" t="s">
        <v>223</v>
      </c>
      <c r="B18" t="s">
        <v>78</v>
      </c>
      <c r="C18" t="s">
        <v>138</v>
      </c>
      <c r="D18" t="s">
        <v>26</v>
      </c>
      <c r="E18" t="s">
        <v>201</v>
      </c>
    </row>
    <row r="19" spans="1:5">
      <c r="A19" t="s">
        <v>224</v>
      </c>
      <c r="B19" t="s">
        <v>48</v>
      </c>
      <c r="C19" t="s">
        <v>142</v>
      </c>
      <c r="D19" t="s">
        <v>203</v>
      </c>
      <c r="E19" t="s">
        <v>201</v>
      </c>
    </row>
    <row r="20" spans="1:5">
      <c r="A20" t="s">
        <v>225</v>
      </c>
      <c r="B20" t="s">
        <v>105</v>
      </c>
      <c r="C20" t="s">
        <v>148</v>
      </c>
      <c r="D20" t="s">
        <v>200</v>
      </c>
      <c r="E20" t="s">
        <v>207</v>
      </c>
    </row>
    <row r="21" spans="1:5">
      <c r="A21" t="s">
        <v>226</v>
      </c>
      <c r="B21" t="s">
        <v>97</v>
      </c>
      <c r="C21" t="s">
        <v>130</v>
      </c>
      <c r="D21" t="s">
        <v>200</v>
      </c>
      <c r="E21" t="s">
        <v>210</v>
      </c>
    </row>
    <row r="22" spans="1:5">
      <c r="A22" t="s">
        <v>227</v>
      </c>
      <c r="B22" t="s">
        <v>51</v>
      </c>
      <c r="C22" t="s">
        <v>142</v>
      </c>
      <c r="D22" t="s">
        <v>26</v>
      </c>
      <c r="E22" t="s">
        <v>210</v>
      </c>
    </row>
    <row r="23" spans="1:5">
      <c r="A23" t="s">
        <v>228</v>
      </c>
      <c r="B23" t="s">
        <v>86</v>
      </c>
      <c r="C23" t="s">
        <v>144</v>
      </c>
      <c r="D23" t="s">
        <v>203</v>
      </c>
      <c r="E23" t="s">
        <v>201</v>
      </c>
    </row>
    <row r="24" spans="1:5">
      <c r="A24" t="s">
        <v>229</v>
      </c>
      <c r="B24" t="s">
        <v>92</v>
      </c>
      <c r="C24" t="s">
        <v>144</v>
      </c>
      <c r="D24" t="s">
        <v>206</v>
      </c>
      <c r="E24" t="s">
        <v>204</v>
      </c>
    </row>
    <row r="25" spans="1:5">
      <c r="A25" t="s">
        <v>230</v>
      </c>
      <c r="B25" t="s">
        <v>61</v>
      </c>
      <c r="C25" t="s">
        <v>146</v>
      </c>
      <c r="D25" t="s">
        <v>26</v>
      </c>
      <c r="E25" t="s">
        <v>210</v>
      </c>
    </row>
    <row r="26" spans="1:5">
      <c r="A26" t="s">
        <v>231</v>
      </c>
      <c r="B26" t="s">
        <v>32</v>
      </c>
      <c r="C26" t="s">
        <v>136</v>
      </c>
      <c r="D26" t="s">
        <v>200</v>
      </c>
      <c r="E26" t="s">
        <v>201</v>
      </c>
    </row>
    <row r="27" spans="1:5">
      <c r="A27" t="s">
        <v>232</v>
      </c>
      <c r="B27" t="s">
        <v>49</v>
      </c>
      <c r="C27" t="s">
        <v>134</v>
      </c>
      <c r="D27" t="s">
        <v>215</v>
      </c>
      <c r="E27" t="s">
        <v>204</v>
      </c>
    </row>
    <row r="28" spans="1:5">
      <c r="A28" t="s">
        <v>233</v>
      </c>
      <c r="B28" t="s">
        <v>56</v>
      </c>
      <c r="C28" t="s">
        <v>144</v>
      </c>
      <c r="D28" t="s">
        <v>26</v>
      </c>
      <c r="E28" t="s">
        <v>204</v>
      </c>
    </row>
    <row r="29" spans="1:5">
      <c r="A29" t="s">
        <v>234</v>
      </c>
      <c r="B29" t="s">
        <v>85</v>
      </c>
      <c r="C29" t="s">
        <v>142</v>
      </c>
      <c r="D29" t="s">
        <v>26</v>
      </c>
      <c r="E29" t="s">
        <v>201</v>
      </c>
    </row>
    <row r="30" spans="1:5">
      <c r="A30" t="s">
        <v>235</v>
      </c>
      <c r="B30" t="s">
        <v>118</v>
      </c>
      <c r="C30" t="s">
        <v>142</v>
      </c>
      <c r="D30" t="s">
        <v>203</v>
      </c>
      <c r="E30" t="s">
        <v>207</v>
      </c>
    </row>
    <row r="31" spans="1:5">
      <c r="A31" t="s">
        <v>236</v>
      </c>
      <c r="B31" t="s">
        <v>56</v>
      </c>
      <c r="C31" t="s">
        <v>134</v>
      </c>
      <c r="D31" t="s">
        <v>215</v>
      </c>
      <c r="E31" t="s">
        <v>204</v>
      </c>
    </row>
    <row r="32" spans="1:5">
      <c r="A32" t="s">
        <v>237</v>
      </c>
      <c r="B32" t="s">
        <v>126</v>
      </c>
      <c r="C32" t="s">
        <v>142</v>
      </c>
      <c r="D32" t="s">
        <v>206</v>
      </c>
      <c r="E32" t="s">
        <v>201</v>
      </c>
    </row>
    <row r="33" spans="1:5">
      <c r="A33" t="s">
        <v>238</v>
      </c>
      <c r="B33" t="s">
        <v>116</v>
      </c>
      <c r="C33" t="s">
        <v>146</v>
      </c>
      <c r="D33" t="s">
        <v>203</v>
      </c>
      <c r="E33" t="s">
        <v>204</v>
      </c>
    </row>
    <row r="34" spans="1:5">
      <c r="A34" t="s">
        <v>239</v>
      </c>
      <c r="B34" t="s">
        <v>98</v>
      </c>
      <c r="C34" t="s">
        <v>136</v>
      </c>
      <c r="D34" t="s">
        <v>215</v>
      </c>
      <c r="E34" t="s">
        <v>207</v>
      </c>
    </row>
    <row r="35" spans="1:5">
      <c r="A35" t="s">
        <v>240</v>
      </c>
      <c r="B35" t="s">
        <v>40</v>
      </c>
      <c r="C35" t="s">
        <v>144</v>
      </c>
      <c r="D35" t="s">
        <v>26</v>
      </c>
      <c r="E35" t="s">
        <v>210</v>
      </c>
    </row>
    <row r="36" spans="1:5">
      <c r="A36" t="s">
        <v>241</v>
      </c>
      <c r="B36" t="s">
        <v>123</v>
      </c>
      <c r="C36" t="s">
        <v>144</v>
      </c>
      <c r="D36" t="s">
        <v>26</v>
      </c>
      <c r="E36" t="s">
        <v>207</v>
      </c>
    </row>
    <row r="37" spans="1:5">
      <c r="A37" t="s">
        <v>242</v>
      </c>
      <c r="B37" t="s">
        <v>97</v>
      </c>
      <c r="C37" t="s">
        <v>144</v>
      </c>
      <c r="D37" t="s">
        <v>206</v>
      </c>
      <c r="E37" t="s">
        <v>207</v>
      </c>
    </row>
    <row r="38" spans="1:5">
      <c r="A38" t="s">
        <v>243</v>
      </c>
      <c r="B38" t="s">
        <v>84</v>
      </c>
      <c r="C38" t="s">
        <v>138</v>
      </c>
      <c r="D38" t="s">
        <v>206</v>
      </c>
      <c r="E38" t="s">
        <v>210</v>
      </c>
    </row>
    <row r="39" spans="1:5">
      <c r="A39" t="s">
        <v>244</v>
      </c>
      <c r="B39" t="s">
        <v>125</v>
      </c>
      <c r="C39" t="s">
        <v>146</v>
      </c>
      <c r="D39" t="s">
        <v>203</v>
      </c>
      <c r="E39" t="s">
        <v>201</v>
      </c>
    </row>
    <row r="40" spans="1:5">
      <c r="A40" t="s">
        <v>245</v>
      </c>
      <c r="B40" t="s">
        <v>60</v>
      </c>
      <c r="C40" t="s">
        <v>144</v>
      </c>
      <c r="D40" t="s">
        <v>215</v>
      </c>
      <c r="E40" t="s">
        <v>210</v>
      </c>
    </row>
    <row r="41" spans="1:5">
      <c r="A41" t="s">
        <v>246</v>
      </c>
      <c r="B41" t="s">
        <v>55</v>
      </c>
      <c r="C41" t="s">
        <v>138</v>
      </c>
      <c r="D41" t="s">
        <v>200</v>
      </c>
      <c r="E41" t="s">
        <v>210</v>
      </c>
    </row>
    <row r="42" spans="1:5">
      <c r="A42" t="s">
        <v>247</v>
      </c>
      <c r="B42" t="s">
        <v>96</v>
      </c>
      <c r="C42" t="s">
        <v>132</v>
      </c>
      <c r="D42" t="s">
        <v>206</v>
      </c>
      <c r="E42" t="s">
        <v>201</v>
      </c>
    </row>
    <row r="43" spans="1:5">
      <c r="A43" t="s">
        <v>248</v>
      </c>
      <c r="B43" t="s">
        <v>54</v>
      </c>
      <c r="C43" t="s">
        <v>142</v>
      </c>
      <c r="D43" t="s">
        <v>206</v>
      </c>
      <c r="E43" t="s">
        <v>201</v>
      </c>
    </row>
    <row r="44" spans="1:5">
      <c r="A44" t="s">
        <v>249</v>
      </c>
      <c r="B44" t="s">
        <v>27</v>
      </c>
      <c r="C44" t="s">
        <v>142</v>
      </c>
      <c r="D44" t="s">
        <v>203</v>
      </c>
      <c r="E44" t="s">
        <v>210</v>
      </c>
    </row>
    <row r="45" spans="1:5">
      <c r="A45" t="s">
        <v>250</v>
      </c>
      <c r="B45" t="s">
        <v>96</v>
      </c>
      <c r="C45" t="s">
        <v>144</v>
      </c>
      <c r="D45" t="s">
        <v>203</v>
      </c>
      <c r="E45" t="s">
        <v>204</v>
      </c>
    </row>
    <row r="46" spans="1:5">
      <c r="A46" t="s">
        <v>251</v>
      </c>
      <c r="B46" t="s">
        <v>51</v>
      </c>
      <c r="C46" t="s">
        <v>142</v>
      </c>
      <c r="D46" t="s">
        <v>203</v>
      </c>
      <c r="E46" t="s">
        <v>204</v>
      </c>
    </row>
    <row r="47" spans="1:5">
      <c r="A47" t="s">
        <v>252</v>
      </c>
      <c r="B47" t="s">
        <v>124</v>
      </c>
      <c r="C47" t="s">
        <v>148</v>
      </c>
      <c r="D47" t="s">
        <v>203</v>
      </c>
      <c r="E47" t="s">
        <v>207</v>
      </c>
    </row>
    <row r="48" spans="1:5">
      <c r="A48" t="s">
        <v>253</v>
      </c>
      <c r="B48" t="s">
        <v>5</v>
      </c>
      <c r="C48" t="s">
        <v>140</v>
      </c>
      <c r="D48" t="s">
        <v>200</v>
      </c>
      <c r="E48" t="s">
        <v>207</v>
      </c>
    </row>
    <row r="49" spans="1:5">
      <c r="A49" t="s">
        <v>254</v>
      </c>
      <c r="B49" t="s">
        <v>80</v>
      </c>
      <c r="C49" t="s">
        <v>146</v>
      </c>
      <c r="D49" t="s">
        <v>26</v>
      </c>
      <c r="E49" t="s">
        <v>201</v>
      </c>
    </row>
    <row r="50" spans="1:5">
      <c r="A50" t="s">
        <v>255</v>
      </c>
      <c r="B50" t="s">
        <v>89</v>
      </c>
      <c r="C50" t="s">
        <v>136</v>
      </c>
      <c r="D50" t="s">
        <v>200</v>
      </c>
      <c r="E50" t="s">
        <v>207</v>
      </c>
    </row>
    <row r="51" spans="1:5">
      <c r="A51" t="s">
        <v>256</v>
      </c>
      <c r="B51" t="s">
        <v>89</v>
      </c>
      <c r="C51" t="s">
        <v>130</v>
      </c>
      <c r="D51" t="s">
        <v>203</v>
      </c>
      <c r="E51" t="s">
        <v>210</v>
      </c>
    </row>
    <row r="52" spans="1:5">
      <c r="A52" t="s">
        <v>257</v>
      </c>
      <c r="B52" t="s">
        <v>112</v>
      </c>
      <c r="C52" t="s">
        <v>142</v>
      </c>
      <c r="D52" t="s">
        <v>206</v>
      </c>
      <c r="E52" t="s">
        <v>207</v>
      </c>
    </row>
    <row r="53" spans="1:5">
      <c r="A53" t="s">
        <v>258</v>
      </c>
      <c r="B53" t="s">
        <v>38</v>
      </c>
      <c r="C53" t="s">
        <v>148</v>
      </c>
      <c r="D53" t="s">
        <v>26</v>
      </c>
      <c r="E53" t="s">
        <v>204</v>
      </c>
    </row>
    <row r="54" spans="1:5">
      <c r="A54" t="s">
        <v>259</v>
      </c>
      <c r="B54" t="s">
        <v>77</v>
      </c>
      <c r="C54" t="s">
        <v>148</v>
      </c>
      <c r="D54" t="s">
        <v>26</v>
      </c>
      <c r="E54" t="s">
        <v>204</v>
      </c>
    </row>
    <row r="55" spans="1:5">
      <c r="A55" t="s">
        <v>260</v>
      </c>
      <c r="B55" t="s">
        <v>30</v>
      </c>
      <c r="C55" t="s">
        <v>142</v>
      </c>
      <c r="D55" t="s">
        <v>206</v>
      </c>
      <c r="E55" t="s">
        <v>207</v>
      </c>
    </row>
    <row r="56" spans="1:5">
      <c r="A56" t="s">
        <v>261</v>
      </c>
      <c r="B56" t="s">
        <v>46</v>
      </c>
      <c r="C56" t="s">
        <v>130</v>
      </c>
      <c r="D56" t="s">
        <v>200</v>
      </c>
      <c r="E56" t="s">
        <v>207</v>
      </c>
    </row>
    <row r="57" spans="1:5">
      <c r="A57" t="s">
        <v>262</v>
      </c>
      <c r="B57" t="s">
        <v>66</v>
      </c>
      <c r="C57" t="s">
        <v>136</v>
      </c>
      <c r="D57" t="s">
        <v>203</v>
      </c>
      <c r="E57" t="s">
        <v>210</v>
      </c>
    </row>
    <row r="58" spans="1:5">
      <c r="A58" t="s">
        <v>263</v>
      </c>
      <c r="B58" t="s">
        <v>69</v>
      </c>
      <c r="C58" t="s">
        <v>142</v>
      </c>
      <c r="D58" t="s">
        <v>200</v>
      </c>
      <c r="E58" t="s">
        <v>207</v>
      </c>
    </row>
    <row r="59" spans="1:5">
      <c r="A59" t="s">
        <v>264</v>
      </c>
      <c r="B59" t="s">
        <v>57</v>
      </c>
      <c r="C59" t="s">
        <v>132</v>
      </c>
      <c r="D59" t="s">
        <v>203</v>
      </c>
      <c r="E59" t="s">
        <v>204</v>
      </c>
    </row>
    <row r="60" spans="1:5">
      <c r="A60" t="s">
        <v>265</v>
      </c>
      <c r="B60" t="s">
        <v>122</v>
      </c>
      <c r="C60" t="s">
        <v>146</v>
      </c>
      <c r="D60" t="s">
        <v>215</v>
      </c>
      <c r="E60" t="s">
        <v>210</v>
      </c>
    </row>
    <row r="61" spans="1:5">
      <c r="A61" t="s">
        <v>266</v>
      </c>
      <c r="B61" t="s">
        <v>53</v>
      </c>
      <c r="C61" t="s">
        <v>132</v>
      </c>
      <c r="D61" t="s">
        <v>215</v>
      </c>
      <c r="E61" t="s">
        <v>204</v>
      </c>
    </row>
    <row r="62" spans="1:5">
      <c r="A62" t="s">
        <v>267</v>
      </c>
      <c r="B62" t="s">
        <v>56</v>
      </c>
      <c r="C62" t="s">
        <v>136</v>
      </c>
      <c r="D62" t="s">
        <v>215</v>
      </c>
      <c r="E62" t="s">
        <v>201</v>
      </c>
    </row>
    <row r="63" spans="1:5">
      <c r="A63" t="s">
        <v>268</v>
      </c>
      <c r="B63" t="s">
        <v>55</v>
      </c>
      <c r="C63" t="s">
        <v>134</v>
      </c>
      <c r="D63" t="s">
        <v>203</v>
      </c>
      <c r="E63" t="s">
        <v>204</v>
      </c>
    </row>
    <row r="64" spans="1:5">
      <c r="A64" t="s">
        <v>269</v>
      </c>
      <c r="B64" t="s">
        <v>99</v>
      </c>
      <c r="C64" t="s">
        <v>136</v>
      </c>
      <c r="D64" t="s">
        <v>203</v>
      </c>
      <c r="E64" t="s">
        <v>210</v>
      </c>
    </row>
    <row r="65" spans="1:5">
      <c r="A65" t="s">
        <v>270</v>
      </c>
      <c r="B65" t="s">
        <v>125</v>
      </c>
      <c r="C65" t="s">
        <v>140</v>
      </c>
      <c r="D65" t="s">
        <v>206</v>
      </c>
      <c r="E65" t="s">
        <v>204</v>
      </c>
    </row>
    <row r="66" spans="1:5">
      <c r="A66" t="s">
        <v>271</v>
      </c>
      <c r="B66" t="s">
        <v>126</v>
      </c>
      <c r="C66" t="s">
        <v>134</v>
      </c>
      <c r="D66" t="s">
        <v>200</v>
      </c>
      <c r="E66" t="s">
        <v>204</v>
      </c>
    </row>
    <row r="67" spans="1:5">
      <c r="A67" t="s">
        <v>272</v>
      </c>
      <c r="B67" t="s">
        <v>101</v>
      </c>
      <c r="C67" t="s">
        <v>130</v>
      </c>
      <c r="D67" t="s">
        <v>200</v>
      </c>
      <c r="E67" t="s">
        <v>207</v>
      </c>
    </row>
    <row r="68" spans="1:5">
      <c r="A68" t="s">
        <v>273</v>
      </c>
      <c r="B68" t="s">
        <v>77</v>
      </c>
      <c r="C68" t="s">
        <v>136</v>
      </c>
      <c r="D68" t="s">
        <v>215</v>
      </c>
      <c r="E68" t="s">
        <v>201</v>
      </c>
    </row>
    <row r="69" spans="1:5">
      <c r="A69" t="s">
        <v>274</v>
      </c>
      <c r="B69" t="s">
        <v>34</v>
      </c>
      <c r="C69" t="s">
        <v>138</v>
      </c>
      <c r="D69" t="s">
        <v>26</v>
      </c>
      <c r="E69" t="s">
        <v>204</v>
      </c>
    </row>
    <row r="70" spans="1:5">
      <c r="A70" t="s">
        <v>275</v>
      </c>
      <c r="B70" t="s">
        <v>99</v>
      </c>
      <c r="C70" t="s">
        <v>130</v>
      </c>
      <c r="D70" t="s">
        <v>200</v>
      </c>
      <c r="E70" t="s">
        <v>207</v>
      </c>
    </row>
    <row r="71" spans="1:5">
      <c r="A71" t="s">
        <v>276</v>
      </c>
      <c r="B71" t="s">
        <v>111</v>
      </c>
      <c r="C71" t="s">
        <v>140</v>
      </c>
      <c r="D71" t="s">
        <v>215</v>
      </c>
      <c r="E71" t="s">
        <v>210</v>
      </c>
    </row>
    <row r="72" spans="1:5">
      <c r="A72" t="s">
        <v>277</v>
      </c>
      <c r="B72" t="s">
        <v>9</v>
      </c>
      <c r="C72" t="s">
        <v>142</v>
      </c>
      <c r="D72" t="s">
        <v>203</v>
      </c>
      <c r="E72" t="s">
        <v>204</v>
      </c>
    </row>
    <row r="73" spans="1:5">
      <c r="A73" t="s">
        <v>278</v>
      </c>
      <c r="B73" t="s">
        <v>82</v>
      </c>
      <c r="C73" t="s">
        <v>140</v>
      </c>
      <c r="D73" t="s">
        <v>203</v>
      </c>
      <c r="E73" t="s">
        <v>201</v>
      </c>
    </row>
    <row r="74" spans="1:5">
      <c r="A74" t="s">
        <v>279</v>
      </c>
      <c r="B74" t="s">
        <v>82</v>
      </c>
      <c r="C74" t="s">
        <v>134</v>
      </c>
      <c r="D74" t="s">
        <v>26</v>
      </c>
      <c r="E74" t="s">
        <v>210</v>
      </c>
    </row>
    <row r="75" spans="1:5">
      <c r="A75" t="s">
        <v>280</v>
      </c>
      <c r="B75" t="s">
        <v>105</v>
      </c>
      <c r="C75" t="s">
        <v>146</v>
      </c>
      <c r="D75" t="s">
        <v>203</v>
      </c>
      <c r="E75" t="s">
        <v>207</v>
      </c>
    </row>
    <row r="76" spans="1:5">
      <c r="A76" t="s">
        <v>281</v>
      </c>
      <c r="B76" t="s">
        <v>82</v>
      </c>
      <c r="C76" t="s">
        <v>148</v>
      </c>
      <c r="D76" t="s">
        <v>200</v>
      </c>
      <c r="E76" t="s">
        <v>210</v>
      </c>
    </row>
    <row r="77" spans="1:5">
      <c r="A77" t="s">
        <v>282</v>
      </c>
      <c r="B77" t="s">
        <v>56</v>
      </c>
      <c r="C77" t="s">
        <v>132</v>
      </c>
      <c r="D77" t="s">
        <v>200</v>
      </c>
      <c r="E77" t="s">
        <v>207</v>
      </c>
    </row>
    <row r="78" spans="1:5">
      <c r="A78" t="s">
        <v>283</v>
      </c>
      <c r="B78" t="s">
        <v>56</v>
      </c>
      <c r="C78" t="s">
        <v>144</v>
      </c>
      <c r="D78" t="s">
        <v>26</v>
      </c>
      <c r="E78" t="s">
        <v>207</v>
      </c>
    </row>
    <row r="79" spans="1:5">
      <c r="A79" t="s">
        <v>284</v>
      </c>
      <c r="B79" t="s">
        <v>69</v>
      </c>
      <c r="C79" t="s">
        <v>130</v>
      </c>
      <c r="D79" t="s">
        <v>203</v>
      </c>
      <c r="E79" t="s">
        <v>210</v>
      </c>
    </row>
    <row r="80" spans="1:5">
      <c r="A80" t="s">
        <v>285</v>
      </c>
      <c r="B80" t="s">
        <v>46</v>
      </c>
      <c r="C80" t="s">
        <v>144</v>
      </c>
      <c r="D80" t="s">
        <v>206</v>
      </c>
      <c r="E80" t="s">
        <v>210</v>
      </c>
    </row>
    <row r="81" spans="1:5">
      <c r="A81" t="s">
        <v>286</v>
      </c>
      <c r="B81" t="s">
        <v>58</v>
      </c>
      <c r="C81" t="s">
        <v>140</v>
      </c>
      <c r="D81" t="s">
        <v>200</v>
      </c>
      <c r="E81" t="s">
        <v>210</v>
      </c>
    </row>
    <row r="82" spans="1:5">
      <c r="A82" t="s">
        <v>287</v>
      </c>
      <c r="B82" t="s">
        <v>98</v>
      </c>
      <c r="C82" t="s">
        <v>130</v>
      </c>
      <c r="D82" t="s">
        <v>26</v>
      </c>
      <c r="E82" t="s">
        <v>201</v>
      </c>
    </row>
    <row r="83" spans="1:5">
      <c r="A83" t="s">
        <v>288</v>
      </c>
      <c r="B83" t="s">
        <v>30</v>
      </c>
      <c r="C83" t="s">
        <v>136</v>
      </c>
      <c r="D83" t="s">
        <v>203</v>
      </c>
      <c r="E83" t="s">
        <v>207</v>
      </c>
    </row>
    <row r="84" spans="1:5">
      <c r="A84" t="s">
        <v>289</v>
      </c>
      <c r="B84" t="s">
        <v>98</v>
      </c>
      <c r="C84" t="s">
        <v>136</v>
      </c>
      <c r="D84" t="s">
        <v>203</v>
      </c>
      <c r="E84" t="s">
        <v>207</v>
      </c>
    </row>
    <row r="85" spans="1:5">
      <c r="A85" t="s">
        <v>290</v>
      </c>
      <c r="B85" t="s">
        <v>84</v>
      </c>
      <c r="C85" t="s">
        <v>130</v>
      </c>
      <c r="D85" t="s">
        <v>215</v>
      </c>
      <c r="E85" t="s">
        <v>210</v>
      </c>
    </row>
    <row r="86" spans="1:5">
      <c r="A86" t="s">
        <v>291</v>
      </c>
      <c r="B86" t="s">
        <v>53</v>
      </c>
      <c r="C86" t="s">
        <v>142</v>
      </c>
      <c r="D86" t="s">
        <v>206</v>
      </c>
      <c r="E86" t="s">
        <v>210</v>
      </c>
    </row>
    <row r="87" spans="1:5">
      <c r="A87" t="s">
        <v>292</v>
      </c>
      <c r="B87" t="s">
        <v>111</v>
      </c>
      <c r="C87" t="s">
        <v>148</v>
      </c>
      <c r="D87" t="s">
        <v>200</v>
      </c>
      <c r="E87" t="s">
        <v>207</v>
      </c>
    </row>
    <row r="88" spans="1:5">
      <c r="A88" t="s">
        <v>293</v>
      </c>
      <c r="B88" t="s">
        <v>97</v>
      </c>
      <c r="C88" t="s">
        <v>146</v>
      </c>
      <c r="D88" t="s">
        <v>200</v>
      </c>
      <c r="E88" t="s">
        <v>207</v>
      </c>
    </row>
    <row r="89" spans="1:5">
      <c r="A89" t="s">
        <v>294</v>
      </c>
      <c r="B89" t="s">
        <v>122</v>
      </c>
      <c r="C89" t="s">
        <v>146</v>
      </c>
      <c r="D89" t="s">
        <v>200</v>
      </c>
      <c r="E89" t="s">
        <v>210</v>
      </c>
    </row>
    <row r="90" spans="1:5">
      <c r="A90" t="s">
        <v>295</v>
      </c>
      <c r="B90" t="s">
        <v>116</v>
      </c>
      <c r="C90" t="s">
        <v>144</v>
      </c>
      <c r="D90" t="s">
        <v>200</v>
      </c>
      <c r="E90" t="s">
        <v>210</v>
      </c>
    </row>
    <row r="91" spans="1:5">
      <c r="A91" t="s">
        <v>296</v>
      </c>
      <c r="B91" t="s">
        <v>57</v>
      </c>
      <c r="C91" t="s">
        <v>136</v>
      </c>
      <c r="D91" t="s">
        <v>215</v>
      </c>
      <c r="E91" t="s">
        <v>201</v>
      </c>
    </row>
    <row r="92" spans="1:5">
      <c r="A92" t="s">
        <v>297</v>
      </c>
      <c r="B92" t="s">
        <v>65</v>
      </c>
      <c r="C92" t="s">
        <v>132</v>
      </c>
      <c r="D92" t="s">
        <v>26</v>
      </c>
      <c r="E92" t="s">
        <v>201</v>
      </c>
    </row>
    <row r="93" spans="1:5">
      <c r="A93" t="s">
        <v>298</v>
      </c>
      <c r="B93" t="s">
        <v>48</v>
      </c>
      <c r="C93" t="s">
        <v>136</v>
      </c>
      <c r="D93" t="s">
        <v>203</v>
      </c>
      <c r="E93" t="s">
        <v>210</v>
      </c>
    </row>
    <row r="94" spans="1:5">
      <c r="A94" t="s">
        <v>299</v>
      </c>
      <c r="B94" t="s">
        <v>119</v>
      </c>
      <c r="C94" t="s">
        <v>148</v>
      </c>
      <c r="D94" t="s">
        <v>26</v>
      </c>
      <c r="E94" t="s">
        <v>210</v>
      </c>
    </row>
    <row r="95" spans="1:5">
      <c r="A95" t="s">
        <v>300</v>
      </c>
      <c r="B95" t="s">
        <v>33</v>
      </c>
      <c r="C95" t="s">
        <v>136</v>
      </c>
      <c r="D95" t="s">
        <v>200</v>
      </c>
      <c r="E95" t="s">
        <v>201</v>
      </c>
    </row>
    <row r="96" spans="1:5">
      <c r="A96" t="s">
        <v>301</v>
      </c>
      <c r="B96" t="s">
        <v>72</v>
      </c>
      <c r="C96" t="s">
        <v>134</v>
      </c>
      <c r="D96" t="s">
        <v>200</v>
      </c>
      <c r="E96" t="s">
        <v>204</v>
      </c>
    </row>
    <row r="97" spans="1:5">
      <c r="A97" t="s">
        <v>302</v>
      </c>
      <c r="B97" t="s">
        <v>117</v>
      </c>
      <c r="C97" t="s">
        <v>146</v>
      </c>
      <c r="D97" t="s">
        <v>206</v>
      </c>
      <c r="E97" t="s">
        <v>210</v>
      </c>
    </row>
    <row r="98" spans="1:5">
      <c r="A98" t="s">
        <v>303</v>
      </c>
      <c r="B98" t="s">
        <v>19</v>
      </c>
      <c r="C98" t="s">
        <v>130</v>
      </c>
      <c r="D98" t="s">
        <v>26</v>
      </c>
      <c r="E98" t="s">
        <v>210</v>
      </c>
    </row>
    <row r="99" spans="1:5">
      <c r="A99" t="s">
        <v>304</v>
      </c>
      <c r="B99" t="s">
        <v>116</v>
      </c>
      <c r="C99" t="s">
        <v>134</v>
      </c>
      <c r="D99" t="s">
        <v>203</v>
      </c>
      <c r="E99" t="s">
        <v>204</v>
      </c>
    </row>
    <row r="100" spans="1:5">
      <c r="A100" t="s">
        <v>305</v>
      </c>
      <c r="B100" t="s">
        <v>9</v>
      </c>
      <c r="C100" t="s">
        <v>148</v>
      </c>
      <c r="D100" t="s">
        <v>200</v>
      </c>
      <c r="E100" t="s">
        <v>207</v>
      </c>
    </row>
    <row r="101" spans="1:5">
      <c r="A101" t="s">
        <v>306</v>
      </c>
      <c r="B101" t="s">
        <v>88</v>
      </c>
      <c r="C101" t="s">
        <v>144</v>
      </c>
      <c r="D101" t="s">
        <v>200</v>
      </c>
      <c r="E101" t="s">
        <v>201</v>
      </c>
    </row>
    <row r="102" spans="1:5">
      <c r="A102" t="s">
        <v>307</v>
      </c>
      <c r="B102" t="s">
        <v>21</v>
      </c>
      <c r="C102" t="s">
        <v>138</v>
      </c>
      <c r="D102" t="s">
        <v>203</v>
      </c>
      <c r="E102" t="s">
        <v>204</v>
      </c>
    </row>
    <row r="103" spans="1:5">
      <c r="A103" t="s">
        <v>308</v>
      </c>
      <c r="B103" t="s">
        <v>27</v>
      </c>
      <c r="C103" t="s">
        <v>142</v>
      </c>
      <c r="D103" t="s">
        <v>203</v>
      </c>
      <c r="E103" t="s">
        <v>204</v>
      </c>
    </row>
    <row r="104" spans="1:5">
      <c r="A104" t="s">
        <v>309</v>
      </c>
      <c r="B104" t="s">
        <v>100</v>
      </c>
      <c r="C104" t="s">
        <v>130</v>
      </c>
      <c r="D104" t="s">
        <v>206</v>
      </c>
      <c r="E104" t="s">
        <v>201</v>
      </c>
    </row>
    <row r="105" spans="1:5">
      <c r="A105" t="s">
        <v>310</v>
      </c>
      <c r="B105" t="s">
        <v>99</v>
      </c>
      <c r="C105" t="s">
        <v>138</v>
      </c>
      <c r="D105" t="s">
        <v>215</v>
      </c>
      <c r="E105" t="s">
        <v>201</v>
      </c>
    </row>
    <row r="106" spans="1:5">
      <c r="A106" t="s">
        <v>311</v>
      </c>
      <c r="B106" t="s">
        <v>36</v>
      </c>
      <c r="C106" t="s">
        <v>146</v>
      </c>
      <c r="D106" t="s">
        <v>203</v>
      </c>
      <c r="E106" t="s">
        <v>201</v>
      </c>
    </row>
    <row r="107" spans="1:5">
      <c r="A107" t="s">
        <v>312</v>
      </c>
      <c r="B107" t="s">
        <v>126</v>
      </c>
      <c r="C107" t="s">
        <v>146</v>
      </c>
      <c r="D107" t="s">
        <v>203</v>
      </c>
      <c r="E107" t="s">
        <v>207</v>
      </c>
    </row>
    <row r="108" spans="1:5">
      <c r="A108" t="s">
        <v>313</v>
      </c>
      <c r="B108" t="s">
        <v>83</v>
      </c>
      <c r="C108" t="s">
        <v>138</v>
      </c>
      <c r="D108" t="s">
        <v>26</v>
      </c>
      <c r="E108" t="s">
        <v>207</v>
      </c>
    </row>
    <row r="109" spans="1:5">
      <c r="A109" t="s">
        <v>314</v>
      </c>
      <c r="B109" t="s">
        <v>64</v>
      </c>
      <c r="C109" t="s">
        <v>148</v>
      </c>
      <c r="D109" t="s">
        <v>26</v>
      </c>
      <c r="E109" t="s">
        <v>204</v>
      </c>
    </row>
    <row r="110" spans="1:5">
      <c r="A110" t="s">
        <v>315</v>
      </c>
      <c r="B110" t="s">
        <v>105</v>
      </c>
      <c r="C110" t="s">
        <v>132</v>
      </c>
      <c r="D110" t="s">
        <v>206</v>
      </c>
      <c r="E110" t="s">
        <v>201</v>
      </c>
    </row>
    <row r="111" spans="1:5">
      <c r="A111" t="s">
        <v>316</v>
      </c>
      <c r="B111" t="s">
        <v>58</v>
      </c>
      <c r="C111" t="s">
        <v>132</v>
      </c>
      <c r="D111" t="s">
        <v>206</v>
      </c>
      <c r="E111" t="s">
        <v>201</v>
      </c>
    </row>
    <row r="112" spans="1:5">
      <c r="A112" t="s">
        <v>317</v>
      </c>
      <c r="B112" t="s">
        <v>45</v>
      </c>
      <c r="C112" t="s">
        <v>146</v>
      </c>
      <c r="D112" t="s">
        <v>215</v>
      </c>
      <c r="E112" t="s">
        <v>201</v>
      </c>
    </row>
    <row r="113" spans="1:5">
      <c r="A113" t="s">
        <v>318</v>
      </c>
      <c r="B113" t="s">
        <v>5</v>
      </c>
      <c r="C113" t="s">
        <v>142</v>
      </c>
      <c r="D113" t="s">
        <v>203</v>
      </c>
      <c r="E113" t="s">
        <v>207</v>
      </c>
    </row>
    <row r="114" spans="1:5">
      <c r="A114" t="s">
        <v>319</v>
      </c>
      <c r="B114" t="s">
        <v>62</v>
      </c>
      <c r="C114" t="s">
        <v>130</v>
      </c>
      <c r="D114" t="s">
        <v>206</v>
      </c>
      <c r="E114" t="s">
        <v>210</v>
      </c>
    </row>
    <row r="115" spans="1:5">
      <c r="A115" t="s">
        <v>320</v>
      </c>
      <c r="B115" t="s">
        <v>117</v>
      </c>
      <c r="C115" t="s">
        <v>138</v>
      </c>
      <c r="D115" t="s">
        <v>203</v>
      </c>
      <c r="E115" t="s">
        <v>204</v>
      </c>
    </row>
    <row r="116" spans="1:5">
      <c r="A116" t="s">
        <v>321</v>
      </c>
      <c r="B116" t="s">
        <v>114</v>
      </c>
      <c r="C116" t="s">
        <v>136</v>
      </c>
      <c r="D116" t="s">
        <v>200</v>
      </c>
      <c r="E116" t="s">
        <v>201</v>
      </c>
    </row>
    <row r="117" spans="1:5">
      <c r="A117" t="s">
        <v>322</v>
      </c>
      <c r="B117" t="s">
        <v>81</v>
      </c>
      <c r="C117" t="s">
        <v>132</v>
      </c>
      <c r="D117" t="s">
        <v>26</v>
      </c>
      <c r="E117" t="s">
        <v>201</v>
      </c>
    </row>
    <row r="118" spans="1:5">
      <c r="A118" t="s">
        <v>323</v>
      </c>
      <c r="B118" t="s">
        <v>109</v>
      </c>
      <c r="C118" t="s">
        <v>134</v>
      </c>
      <c r="D118" t="s">
        <v>200</v>
      </c>
      <c r="E118" t="s">
        <v>201</v>
      </c>
    </row>
    <row r="119" spans="1:5">
      <c r="A119" t="s">
        <v>324</v>
      </c>
      <c r="B119" t="s">
        <v>29</v>
      </c>
      <c r="C119" t="s">
        <v>130</v>
      </c>
      <c r="D119" t="s">
        <v>206</v>
      </c>
      <c r="E119" t="s">
        <v>210</v>
      </c>
    </row>
    <row r="120" spans="1:5">
      <c r="A120" t="s">
        <v>325</v>
      </c>
      <c r="B120" t="s">
        <v>103</v>
      </c>
      <c r="C120" t="s">
        <v>148</v>
      </c>
      <c r="D120" t="s">
        <v>200</v>
      </c>
      <c r="E120" t="s">
        <v>207</v>
      </c>
    </row>
    <row r="121" spans="1:5">
      <c r="A121" t="s">
        <v>326</v>
      </c>
      <c r="B121" t="s">
        <v>36</v>
      </c>
      <c r="C121" t="s">
        <v>144</v>
      </c>
      <c r="D121" t="s">
        <v>200</v>
      </c>
      <c r="E121" t="s">
        <v>207</v>
      </c>
    </row>
    <row r="122" spans="1:5">
      <c r="A122" t="s">
        <v>327</v>
      </c>
      <c r="B122" t="s">
        <v>59</v>
      </c>
      <c r="C122" t="s">
        <v>146</v>
      </c>
      <c r="D122" t="s">
        <v>26</v>
      </c>
      <c r="E122" t="s">
        <v>207</v>
      </c>
    </row>
    <row r="123" spans="1:5">
      <c r="A123" t="s">
        <v>328</v>
      </c>
      <c r="B123" t="s">
        <v>83</v>
      </c>
      <c r="C123" t="s">
        <v>132</v>
      </c>
      <c r="D123" t="s">
        <v>26</v>
      </c>
      <c r="E123" t="s">
        <v>204</v>
      </c>
    </row>
    <row r="124" spans="1:5">
      <c r="A124" t="s">
        <v>329</v>
      </c>
      <c r="B124" t="s">
        <v>82</v>
      </c>
      <c r="C124" t="s">
        <v>140</v>
      </c>
      <c r="D124" t="s">
        <v>26</v>
      </c>
      <c r="E124" t="s">
        <v>210</v>
      </c>
    </row>
    <row r="125" spans="1:5">
      <c r="A125" t="s">
        <v>330</v>
      </c>
      <c r="B125" t="s">
        <v>13</v>
      </c>
      <c r="C125" t="s">
        <v>132</v>
      </c>
      <c r="D125" t="s">
        <v>206</v>
      </c>
      <c r="E125" t="s">
        <v>204</v>
      </c>
    </row>
    <row r="126" spans="1:5">
      <c r="A126" t="s">
        <v>331</v>
      </c>
      <c r="B126" t="s">
        <v>124</v>
      </c>
      <c r="C126" t="s">
        <v>138</v>
      </c>
      <c r="D126" t="s">
        <v>26</v>
      </c>
      <c r="E126" t="s">
        <v>204</v>
      </c>
    </row>
    <row r="127" spans="1:5">
      <c r="A127" t="s">
        <v>332</v>
      </c>
      <c r="B127" t="s">
        <v>124</v>
      </c>
      <c r="C127" t="s">
        <v>134</v>
      </c>
      <c r="D127" t="s">
        <v>203</v>
      </c>
      <c r="E127" t="s">
        <v>207</v>
      </c>
    </row>
    <row r="128" spans="1:5">
      <c r="A128" t="s">
        <v>333</v>
      </c>
      <c r="B128" t="s">
        <v>60</v>
      </c>
      <c r="C128" t="s">
        <v>134</v>
      </c>
      <c r="D128" t="s">
        <v>26</v>
      </c>
      <c r="E128" t="s">
        <v>207</v>
      </c>
    </row>
    <row r="129" spans="1:5">
      <c r="A129" t="s">
        <v>334</v>
      </c>
      <c r="B129" t="s">
        <v>108</v>
      </c>
      <c r="C129" t="s">
        <v>144</v>
      </c>
      <c r="D129" t="s">
        <v>215</v>
      </c>
      <c r="E129" t="s">
        <v>207</v>
      </c>
    </row>
    <row r="130" spans="1:5">
      <c r="A130" t="s">
        <v>335</v>
      </c>
      <c r="B130" t="s">
        <v>70</v>
      </c>
      <c r="C130" t="s">
        <v>142</v>
      </c>
      <c r="D130" t="s">
        <v>200</v>
      </c>
      <c r="E130" t="s">
        <v>210</v>
      </c>
    </row>
    <row r="131" spans="1:5">
      <c r="A131" t="s">
        <v>336</v>
      </c>
      <c r="B131" t="s">
        <v>112</v>
      </c>
      <c r="C131" t="s">
        <v>132</v>
      </c>
      <c r="D131" t="s">
        <v>206</v>
      </c>
      <c r="E131" t="s">
        <v>210</v>
      </c>
    </row>
    <row r="132" spans="1:5">
      <c r="A132" t="s">
        <v>337</v>
      </c>
      <c r="B132" t="s">
        <v>79</v>
      </c>
      <c r="C132" t="s">
        <v>144</v>
      </c>
      <c r="D132" t="s">
        <v>200</v>
      </c>
      <c r="E132" t="s">
        <v>207</v>
      </c>
    </row>
    <row r="133" spans="1:5">
      <c r="A133" t="s">
        <v>338</v>
      </c>
      <c r="B133" t="s">
        <v>124</v>
      </c>
      <c r="C133" t="s">
        <v>146</v>
      </c>
      <c r="D133" t="s">
        <v>215</v>
      </c>
      <c r="E133" t="s">
        <v>207</v>
      </c>
    </row>
    <row r="134" spans="1:5">
      <c r="A134" t="s">
        <v>339</v>
      </c>
      <c r="B134" t="s">
        <v>32</v>
      </c>
      <c r="C134" t="s">
        <v>140</v>
      </c>
      <c r="D134" t="s">
        <v>200</v>
      </c>
      <c r="E134" t="s">
        <v>210</v>
      </c>
    </row>
    <row r="135" spans="1:5">
      <c r="A135" t="s">
        <v>340</v>
      </c>
      <c r="B135" t="s">
        <v>35</v>
      </c>
      <c r="C135" t="s">
        <v>142</v>
      </c>
      <c r="D135" t="s">
        <v>26</v>
      </c>
      <c r="E135" t="s">
        <v>204</v>
      </c>
    </row>
    <row r="136" spans="1:5">
      <c r="A136" t="s">
        <v>341</v>
      </c>
      <c r="B136" t="s">
        <v>111</v>
      </c>
      <c r="C136" t="s">
        <v>146</v>
      </c>
      <c r="D136" t="s">
        <v>203</v>
      </c>
      <c r="E136" t="s">
        <v>207</v>
      </c>
    </row>
    <row r="137" spans="1:5">
      <c r="A137" t="s">
        <v>342</v>
      </c>
      <c r="B137" t="s">
        <v>21</v>
      </c>
      <c r="C137" t="s">
        <v>136</v>
      </c>
      <c r="D137" t="s">
        <v>26</v>
      </c>
      <c r="E137" t="s">
        <v>210</v>
      </c>
    </row>
    <row r="138" spans="1:5">
      <c r="A138" t="s">
        <v>343</v>
      </c>
      <c r="B138" t="s">
        <v>106</v>
      </c>
      <c r="C138" t="s">
        <v>144</v>
      </c>
      <c r="D138" t="s">
        <v>203</v>
      </c>
      <c r="E138" t="s">
        <v>204</v>
      </c>
    </row>
    <row r="139" spans="1:5">
      <c r="A139" t="s">
        <v>344</v>
      </c>
      <c r="B139" t="s">
        <v>51</v>
      </c>
      <c r="C139" t="s">
        <v>138</v>
      </c>
      <c r="D139" t="s">
        <v>26</v>
      </c>
      <c r="E139" t="s">
        <v>201</v>
      </c>
    </row>
    <row r="140" spans="1:5">
      <c r="A140" t="s">
        <v>345</v>
      </c>
      <c r="B140" t="s">
        <v>61</v>
      </c>
      <c r="C140" t="s">
        <v>144</v>
      </c>
      <c r="D140" t="s">
        <v>203</v>
      </c>
      <c r="E140" t="s">
        <v>204</v>
      </c>
    </row>
    <row r="141" spans="1:5">
      <c r="A141" t="s">
        <v>346</v>
      </c>
      <c r="B141" t="s">
        <v>13</v>
      </c>
      <c r="C141" t="s">
        <v>148</v>
      </c>
      <c r="D141" t="s">
        <v>206</v>
      </c>
      <c r="E141" t="s">
        <v>201</v>
      </c>
    </row>
    <row r="142" spans="1:5">
      <c r="A142" t="s">
        <v>347</v>
      </c>
      <c r="B142" t="s">
        <v>64</v>
      </c>
      <c r="C142" t="s">
        <v>146</v>
      </c>
      <c r="D142" t="s">
        <v>215</v>
      </c>
      <c r="E142" t="s">
        <v>207</v>
      </c>
    </row>
    <row r="143" spans="1:5">
      <c r="A143" t="s">
        <v>348</v>
      </c>
      <c r="B143" t="s">
        <v>32</v>
      </c>
      <c r="C143" t="s">
        <v>136</v>
      </c>
      <c r="D143" t="s">
        <v>215</v>
      </c>
      <c r="E143" t="s">
        <v>207</v>
      </c>
    </row>
    <row r="144" spans="1:5">
      <c r="A144" t="s">
        <v>349</v>
      </c>
      <c r="B144" t="s">
        <v>36</v>
      </c>
      <c r="C144" t="s">
        <v>134</v>
      </c>
      <c r="D144" t="s">
        <v>203</v>
      </c>
      <c r="E144" t="s">
        <v>210</v>
      </c>
    </row>
    <row r="145" spans="1:5">
      <c r="A145" t="s">
        <v>350</v>
      </c>
      <c r="B145" t="s">
        <v>92</v>
      </c>
      <c r="C145" t="s">
        <v>138</v>
      </c>
      <c r="D145" t="s">
        <v>203</v>
      </c>
      <c r="E145" t="s">
        <v>207</v>
      </c>
    </row>
    <row r="146" spans="1:5">
      <c r="A146" t="s">
        <v>351</v>
      </c>
      <c r="B146" t="s">
        <v>87</v>
      </c>
      <c r="C146" t="s">
        <v>136</v>
      </c>
      <c r="D146" t="s">
        <v>203</v>
      </c>
      <c r="E146" t="s">
        <v>201</v>
      </c>
    </row>
    <row r="147" spans="1:5">
      <c r="A147" t="s">
        <v>352</v>
      </c>
      <c r="B147" t="s">
        <v>76</v>
      </c>
      <c r="C147" t="s">
        <v>136</v>
      </c>
      <c r="D147" t="s">
        <v>26</v>
      </c>
      <c r="E147" t="s">
        <v>201</v>
      </c>
    </row>
    <row r="148" spans="1:5">
      <c r="A148" t="s">
        <v>353</v>
      </c>
      <c r="B148" t="s">
        <v>27</v>
      </c>
      <c r="C148" t="s">
        <v>138</v>
      </c>
      <c r="D148" t="s">
        <v>203</v>
      </c>
      <c r="E148" t="s">
        <v>210</v>
      </c>
    </row>
    <row r="149" spans="1:5">
      <c r="A149" t="s">
        <v>354</v>
      </c>
      <c r="B149" t="s">
        <v>91</v>
      </c>
      <c r="C149" t="s">
        <v>138</v>
      </c>
      <c r="D149" t="s">
        <v>215</v>
      </c>
      <c r="E149" t="s">
        <v>210</v>
      </c>
    </row>
    <row r="150" spans="1:5">
      <c r="A150" t="s">
        <v>355</v>
      </c>
      <c r="B150" t="s">
        <v>119</v>
      </c>
      <c r="C150" t="s">
        <v>138</v>
      </c>
      <c r="D150" t="s">
        <v>26</v>
      </c>
      <c r="E150" t="s">
        <v>207</v>
      </c>
    </row>
    <row r="151" spans="1:5">
      <c r="A151" t="s">
        <v>356</v>
      </c>
      <c r="B151" t="s">
        <v>42</v>
      </c>
      <c r="C151" t="s">
        <v>144</v>
      </c>
      <c r="D151" t="s">
        <v>26</v>
      </c>
      <c r="E151" t="s">
        <v>207</v>
      </c>
    </row>
    <row r="152" spans="1:5">
      <c r="A152" t="s">
        <v>357</v>
      </c>
      <c r="B152" t="s">
        <v>70</v>
      </c>
      <c r="C152" t="s">
        <v>140</v>
      </c>
      <c r="D152" t="s">
        <v>26</v>
      </c>
      <c r="E152" t="s">
        <v>207</v>
      </c>
    </row>
    <row r="153" spans="1:5">
      <c r="A153" t="s">
        <v>358</v>
      </c>
      <c r="B153" t="s">
        <v>85</v>
      </c>
      <c r="C153" t="s">
        <v>140</v>
      </c>
      <c r="D153" t="s">
        <v>206</v>
      </c>
      <c r="E153" t="s">
        <v>201</v>
      </c>
    </row>
    <row r="154" spans="1:5">
      <c r="A154" t="s">
        <v>359</v>
      </c>
      <c r="B154" t="s">
        <v>100</v>
      </c>
      <c r="C154" t="s">
        <v>142</v>
      </c>
      <c r="D154" t="s">
        <v>206</v>
      </c>
      <c r="E154" t="s">
        <v>207</v>
      </c>
    </row>
    <row r="155" spans="1:5">
      <c r="A155" t="s">
        <v>360</v>
      </c>
      <c r="B155" t="s">
        <v>19</v>
      </c>
      <c r="C155" t="s">
        <v>140</v>
      </c>
      <c r="D155" t="s">
        <v>203</v>
      </c>
      <c r="E155" t="s">
        <v>207</v>
      </c>
    </row>
    <row r="156" spans="1:5">
      <c r="A156" t="s">
        <v>361</v>
      </c>
      <c r="B156" t="s">
        <v>76</v>
      </c>
      <c r="C156" t="s">
        <v>134</v>
      </c>
      <c r="D156" t="s">
        <v>203</v>
      </c>
      <c r="E156" t="s">
        <v>204</v>
      </c>
    </row>
    <row r="157" spans="1:5">
      <c r="A157" t="s">
        <v>362</v>
      </c>
      <c r="B157" t="s">
        <v>38</v>
      </c>
      <c r="C157" t="s">
        <v>146</v>
      </c>
      <c r="D157" t="s">
        <v>26</v>
      </c>
      <c r="E157" t="s">
        <v>210</v>
      </c>
    </row>
    <row r="158" spans="1:5">
      <c r="A158" t="s">
        <v>363</v>
      </c>
      <c r="B158" t="s">
        <v>33</v>
      </c>
      <c r="C158" t="s">
        <v>144</v>
      </c>
      <c r="D158" t="s">
        <v>215</v>
      </c>
      <c r="E158" t="s">
        <v>207</v>
      </c>
    </row>
    <row r="159" spans="1:5">
      <c r="A159" t="s">
        <v>364</v>
      </c>
      <c r="B159" t="s">
        <v>9</v>
      </c>
      <c r="C159" t="s">
        <v>134</v>
      </c>
      <c r="D159" t="s">
        <v>203</v>
      </c>
      <c r="E159" t="s">
        <v>201</v>
      </c>
    </row>
    <row r="160" spans="1:5">
      <c r="A160" t="s">
        <v>365</v>
      </c>
      <c r="B160" t="s">
        <v>29</v>
      </c>
      <c r="C160" t="s">
        <v>144</v>
      </c>
      <c r="D160" t="s">
        <v>200</v>
      </c>
      <c r="E160" t="s">
        <v>210</v>
      </c>
    </row>
    <row r="161" spans="1:5">
      <c r="A161" t="s">
        <v>366</v>
      </c>
      <c r="B161" t="s">
        <v>106</v>
      </c>
      <c r="C161" t="s">
        <v>142</v>
      </c>
      <c r="D161" t="s">
        <v>215</v>
      </c>
      <c r="E161" t="s">
        <v>210</v>
      </c>
    </row>
    <row r="162" spans="1:5">
      <c r="A162" t="s">
        <v>367</v>
      </c>
      <c r="B162" t="s">
        <v>113</v>
      </c>
      <c r="C162" t="s">
        <v>146</v>
      </c>
      <c r="D162" t="s">
        <v>203</v>
      </c>
      <c r="E162" t="s">
        <v>210</v>
      </c>
    </row>
    <row r="163" spans="1:5">
      <c r="A163" t="s">
        <v>368</v>
      </c>
      <c r="B163" t="s">
        <v>107</v>
      </c>
      <c r="C163" t="s">
        <v>144</v>
      </c>
      <c r="D163" t="s">
        <v>26</v>
      </c>
      <c r="E163" t="s">
        <v>204</v>
      </c>
    </row>
    <row r="164" spans="1:5">
      <c r="A164" t="s">
        <v>369</v>
      </c>
      <c r="B164" t="s">
        <v>106</v>
      </c>
      <c r="C164" t="s">
        <v>132</v>
      </c>
      <c r="D164" t="s">
        <v>206</v>
      </c>
      <c r="E164" t="s">
        <v>210</v>
      </c>
    </row>
    <row r="165" spans="1:5">
      <c r="A165" t="s">
        <v>370</v>
      </c>
      <c r="B165" t="s">
        <v>54</v>
      </c>
      <c r="C165" t="s">
        <v>132</v>
      </c>
      <c r="D165" t="s">
        <v>203</v>
      </c>
      <c r="E165" t="s">
        <v>204</v>
      </c>
    </row>
    <row r="166" spans="1:5">
      <c r="A166" t="s">
        <v>371</v>
      </c>
      <c r="B166" t="s">
        <v>124</v>
      </c>
      <c r="C166" t="s">
        <v>132</v>
      </c>
      <c r="D166" t="s">
        <v>203</v>
      </c>
      <c r="E166" t="s">
        <v>201</v>
      </c>
    </row>
    <row r="167" spans="1:5">
      <c r="A167" t="s">
        <v>372</v>
      </c>
      <c r="B167" t="s">
        <v>115</v>
      </c>
      <c r="C167" t="s">
        <v>138</v>
      </c>
      <c r="D167" t="s">
        <v>215</v>
      </c>
      <c r="E167" t="s">
        <v>204</v>
      </c>
    </row>
    <row r="168" spans="1:5">
      <c r="A168" t="s">
        <v>373</v>
      </c>
      <c r="B168" t="s">
        <v>66</v>
      </c>
      <c r="C168" t="s">
        <v>130</v>
      </c>
      <c r="D168" t="s">
        <v>200</v>
      </c>
      <c r="E168" t="s">
        <v>210</v>
      </c>
    </row>
    <row r="169" spans="1:5">
      <c r="A169" t="s">
        <v>374</v>
      </c>
      <c r="B169" t="s">
        <v>73</v>
      </c>
      <c r="C169" t="s">
        <v>142</v>
      </c>
      <c r="D169" t="s">
        <v>206</v>
      </c>
      <c r="E169" t="s">
        <v>201</v>
      </c>
    </row>
    <row r="170" spans="1:5">
      <c r="A170" t="s">
        <v>375</v>
      </c>
      <c r="B170" t="s">
        <v>94</v>
      </c>
      <c r="C170" t="s">
        <v>142</v>
      </c>
      <c r="D170" t="s">
        <v>26</v>
      </c>
      <c r="E170" t="s">
        <v>201</v>
      </c>
    </row>
    <row r="171" spans="1:5">
      <c r="A171" t="s">
        <v>376</v>
      </c>
      <c r="B171" t="s">
        <v>44</v>
      </c>
      <c r="C171" t="s">
        <v>134</v>
      </c>
      <c r="D171" t="s">
        <v>215</v>
      </c>
      <c r="E171" t="s">
        <v>207</v>
      </c>
    </row>
    <row r="172" spans="1:5">
      <c r="A172" t="s">
        <v>377</v>
      </c>
      <c r="B172" t="s">
        <v>106</v>
      </c>
      <c r="C172" t="s">
        <v>136</v>
      </c>
      <c r="D172" t="s">
        <v>203</v>
      </c>
      <c r="E172" t="s">
        <v>201</v>
      </c>
    </row>
    <row r="173" spans="1:5">
      <c r="A173" t="s">
        <v>378</v>
      </c>
      <c r="B173" t="s">
        <v>54</v>
      </c>
      <c r="C173" t="s">
        <v>144</v>
      </c>
      <c r="D173" t="s">
        <v>200</v>
      </c>
      <c r="E173" t="s">
        <v>207</v>
      </c>
    </row>
    <row r="174" spans="1:5">
      <c r="A174" t="s">
        <v>379</v>
      </c>
      <c r="B174" t="s">
        <v>57</v>
      </c>
      <c r="C174" t="s">
        <v>130</v>
      </c>
      <c r="D174" t="s">
        <v>203</v>
      </c>
      <c r="E174" t="s">
        <v>210</v>
      </c>
    </row>
    <row r="175" spans="1:5">
      <c r="A175" t="s">
        <v>380</v>
      </c>
      <c r="B175" t="s">
        <v>113</v>
      </c>
      <c r="C175" t="s">
        <v>146</v>
      </c>
      <c r="D175" t="s">
        <v>206</v>
      </c>
      <c r="E175" t="s">
        <v>204</v>
      </c>
    </row>
    <row r="176" spans="1:5">
      <c r="A176" t="s">
        <v>381</v>
      </c>
      <c r="B176" t="s">
        <v>83</v>
      </c>
      <c r="C176" t="s">
        <v>140</v>
      </c>
      <c r="D176" t="s">
        <v>26</v>
      </c>
      <c r="E176" t="s">
        <v>210</v>
      </c>
    </row>
    <row r="177" spans="1:5">
      <c r="A177" t="s">
        <v>382</v>
      </c>
      <c r="B177" t="s">
        <v>108</v>
      </c>
      <c r="C177" t="s">
        <v>142</v>
      </c>
      <c r="D177" t="s">
        <v>200</v>
      </c>
      <c r="E177" t="s">
        <v>207</v>
      </c>
    </row>
    <row r="178" spans="1:5">
      <c r="A178" t="s">
        <v>383</v>
      </c>
      <c r="B178" t="s">
        <v>63</v>
      </c>
      <c r="C178" t="s">
        <v>136</v>
      </c>
      <c r="D178" t="s">
        <v>203</v>
      </c>
      <c r="E178" t="s">
        <v>207</v>
      </c>
    </row>
    <row r="179" spans="1:5">
      <c r="A179" t="s">
        <v>384</v>
      </c>
      <c r="B179" t="s">
        <v>34</v>
      </c>
      <c r="C179" t="s">
        <v>136</v>
      </c>
      <c r="D179" t="s">
        <v>203</v>
      </c>
      <c r="E179" t="s">
        <v>210</v>
      </c>
    </row>
    <row r="180" spans="1:5">
      <c r="A180" t="s">
        <v>385</v>
      </c>
      <c r="B180" t="s">
        <v>100</v>
      </c>
      <c r="C180" t="s">
        <v>138</v>
      </c>
      <c r="D180" t="s">
        <v>200</v>
      </c>
      <c r="E180" t="s">
        <v>204</v>
      </c>
    </row>
    <row r="181" spans="1:5">
      <c r="A181" t="s">
        <v>386</v>
      </c>
      <c r="B181" t="s">
        <v>111</v>
      </c>
      <c r="C181" t="s">
        <v>142</v>
      </c>
      <c r="D181" t="s">
        <v>200</v>
      </c>
      <c r="E181" t="s">
        <v>204</v>
      </c>
    </row>
    <row r="182" spans="1:5">
      <c r="A182" t="s">
        <v>387</v>
      </c>
      <c r="B182" t="s">
        <v>99</v>
      </c>
      <c r="C182" t="s">
        <v>130</v>
      </c>
      <c r="D182" t="s">
        <v>26</v>
      </c>
      <c r="E182" t="s">
        <v>207</v>
      </c>
    </row>
    <row r="183" spans="1:5">
      <c r="A183" t="s">
        <v>388</v>
      </c>
      <c r="B183" t="s">
        <v>61</v>
      </c>
      <c r="C183" t="s">
        <v>136</v>
      </c>
      <c r="D183" t="s">
        <v>26</v>
      </c>
      <c r="E183" t="s">
        <v>210</v>
      </c>
    </row>
    <row r="184" spans="1:5">
      <c r="A184" t="s">
        <v>389</v>
      </c>
      <c r="B184" t="s">
        <v>53</v>
      </c>
      <c r="C184" t="s">
        <v>136</v>
      </c>
      <c r="D184" t="s">
        <v>26</v>
      </c>
      <c r="E184" t="s">
        <v>210</v>
      </c>
    </row>
    <row r="185" spans="1:5">
      <c r="A185" t="s">
        <v>390</v>
      </c>
      <c r="B185" t="s">
        <v>113</v>
      </c>
      <c r="C185" t="s">
        <v>134</v>
      </c>
      <c r="D185" t="s">
        <v>215</v>
      </c>
      <c r="E185" t="s">
        <v>204</v>
      </c>
    </row>
    <row r="186" spans="1:5">
      <c r="A186" t="s">
        <v>391</v>
      </c>
      <c r="B186" t="s">
        <v>64</v>
      </c>
      <c r="C186" t="s">
        <v>144</v>
      </c>
      <c r="D186" t="s">
        <v>215</v>
      </c>
      <c r="E186" t="s">
        <v>210</v>
      </c>
    </row>
    <row r="187" spans="1:5">
      <c r="A187" t="s">
        <v>392</v>
      </c>
      <c r="B187" t="s">
        <v>120</v>
      </c>
      <c r="C187" t="s">
        <v>134</v>
      </c>
      <c r="D187" t="s">
        <v>215</v>
      </c>
      <c r="E187" t="s">
        <v>210</v>
      </c>
    </row>
    <row r="188" spans="1:5">
      <c r="A188" t="s">
        <v>393</v>
      </c>
      <c r="B188" t="s">
        <v>66</v>
      </c>
      <c r="C188" t="s">
        <v>142</v>
      </c>
      <c r="D188" t="s">
        <v>206</v>
      </c>
      <c r="E188" t="s">
        <v>201</v>
      </c>
    </row>
    <row r="189" spans="1:5">
      <c r="A189" t="s">
        <v>394</v>
      </c>
      <c r="B189" t="s">
        <v>38</v>
      </c>
      <c r="C189" t="s">
        <v>146</v>
      </c>
      <c r="D189" t="s">
        <v>200</v>
      </c>
      <c r="E189" t="s">
        <v>210</v>
      </c>
    </row>
    <row r="190" spans="1:5">
      <c r="A190" t="s">
        <v>395</v>
      </c>
      <c r="B190" t="s">
        <v>44</v>
      </c>
      <c r="C190" t="s">
        <v>138</v>
      </c>
      <c r="D190" t="s">
        <v>203</v>
      </c>
      <c r="E190" t="s">
        <v>210</v>
      </c>
    </row>
    <row r="191" spans="1:5">
      <c r="A191" t="s">
        <v>396</v>
      </c>
      <c r="B191" t="s">
        <v>122</v>
      </c>
      <c r="C191" t="s">
        <v>140</v>
      </c>
      <c r="D191" t="s">
        <v>215</v>
      </c>
      <c r="E191" t="s">
        <v>207</v>
      </c>
    </row>
    <row r="192" spans="1:5">
      <c r="A192" t="s">
        <v>397</v>
      </c>
      <c r="B192" t="s">
        <v>29</v>
      </c>
      <c r="C192" t="s">
        <v>134</v>
      </c>
      <c r="D192" t="s">
        <v>206</v>
      </c>
      <c r="E192" t="s">
        <v>207</v>
      </c>
    </row>
    <row r="193" spans="1:5">
      <c r="A193" t="s">
        <v>398</v>
      </c>
      <c r="B193" t="s">
        <v>98</v>
      </c>
      <c r="C193" t="s">
        <v>140</v>
      </c>
      <c r="D193" t="s">
        <v>215</v>
      </c>
      <c r="E193" t="s">
        <v>207</v>
      </c>
    </row>
    <row r="194" spans="1:5">
      <c r="A194" t="s">
        <v>399</v>
      </c>
      <c r="B194" t="s">
        <v>9</v>
      </c>
      <c r="C194" t="s">
        <v>138</v>
      </c>
      <c r="D194" t="s">
        <v>26</v>
      </c>
      <c r="E194" t="s">
        <v>204</v>
      </c>
    </row>
    <row r="195" spans="1:5">
      <c r="A195" t="s">
        <v>400</v>
      </c>
      <c r="B195" t="s">
        <v>85</v>
      </c>
      <c r="C195" t="s">
        <v>140</v>
      </c>
      <c r="D195" t="s">
        <v>200</v>
      </c>
      <c r="E195" t="s">
        <v>207</v>
      </c>
    </row>
    <row r="196" spans="1:5">
      <c r="A196" t="s">
        <v>401</v>
      </c>
      <c r="B196" t="s">
        <v>108</v>
      </c>
      <c r="C196" t="s">
        <v>140</v>
      </c>
      <c r="D196" t="s">
        <v>215</v>
      </c>
      <c r="E196" t="s">
        <v>201</v>
      </c>
    </row>
    <row r="197" spans="1:5">
      <c r="A197" t="s">
        <v>402</v>
      </c>
      <c r="B197" t="s">
        <v>87</v>
      </c>
      <c r="C197" t="s">
        <v>130</v>
      </c>
      <c r="D197" t="s">
        <v>26</v>
      </c>
      <c r="E197" t="s">
        <v>210</v>
      </c>
    </row>
    <row r="198" spans="1:5">
      <c r="A198" t="s">
        <v>403</v>
      </c>
      <c r="B198" t="s">
        <v>105</v>
      </c>
      <c r="C198" t="s">
        <v>136</v>
      </c>
      <c r="D198" t="s">
        <v>215</v>
      </c>
      <c r="E198" t="s">
        <v>207</v>
      </c>
    </row>
    <row r="199" spans="1:5">
      <c r="A199" t="s">
        <v>404</v>
      </c>
      <c r="B199" t="s">
        <v>116</v>
      </c>
      <c r="C199" t="s">
        <v>138</v>
      </c>
      <c r="D199" t="s">
        <v>203</v>
      </c>
      <c r="E199" t="s">
        <v>204</v>
      </c>
    </row>
    <row r="200" spans="1:5">
      <c r="A200" t="s">
        <v>405</v>
      </c>
      <c r="B200" t="s">
        <v>40</v>
      </c>
      <c r="C200" t="s">
        <v>130</v>
      </c>
      <c r="D200" t="s">
        <v>215</v>
      </c>
      <c r="E200" t="s">
        <v>210</v>
      </c>
    </row>
    <row r="201" spans="1:5">
      <c r="A201" t="s">
        <v>406</v>
      </c>
      <c r="B201" t="s">
        <v>90</v>
      </c>
      <c r="C201" t="s">
        <v>132</v>
      </c>
      <c r="D201" t="s">
        <v>215</v>
      </c>
      <c r="E201" t="s">
        <v>201</v>
      </c>
    </row>
    <row r="202" spans="1:5">
      <c r="A202" t="s">
        <v>407</v>
      </c>
      <c r="B202" t="s">
        <v>95</v>
      </c>
      <c r="C202" t="s">
        <v>134</v>
      </c>
      <c r="D202" t="s">
        <v>203</v>
      </c>
      <c r="E202" t="s">
        <v>207</v>
      </c>
    </row>
    <row r="203" spans="1:5">
      <c r="A203" t="s">
        <v>408</v>
      </c>
      <c r="B203" t="s">
        <v>73</v>
      </c>
      <c r="C203" t="s">
        <v>146</v>
      </c>
      <c r="D203" t="s">
        <v>203</v>
      </c>
      <c r="E203" t="s">
        <v>201</v>
      </c>
    </row>
    <row r="204" spans="1:5">
      <c r="A204" t="s">
        <v>409</v>
      </c>
      <c r="B204" t="s">
        <v>80</v>
      </c>
      <c r="C204" t="s">
        <v>132</v>
      </c>
      <c r="D204" t="s">
        <v>203</v>
      </c>
      <c r="E204" t="s">
        <v>207</v>
      </c>
    </row>
    <row r="205" spans="1:5">
      <c r="A205" t="s">
        <v>410</v>
      </c>
      <c r="B205" t="s">
        <v>60</v>
      </c>
      <c r="C205" t="s">
        <v>130</v>
      </c>
      <c r="D205" t="s">
        <v>200</v>
      </c>
      <c r="E205" t="s">
        <v>201</v>
      </c>
    </row>
    <row r="206" spans="1:5">
      <c r="A206" t="s">
        <v>411</v>
      </c>
      <c r="B206" t="s">
        <v>83</v>
      </c>
      <c r="C206" t="s">
        <v>144</v>
      </c>
      <c r="D206" t="s">
        <v>206</v>
      </c>
      <c r="E206" t="s">
        <v>210</v>
      </c>
    </row>
    <row r="207" spans="1:5">
      <c r="A207" t="s">
        <v>412</v>
      </c>
      <c r="B207" t="s">
        <v>33</v>
      </c>
      <c r="C207" t="s">
        <v>140</v>
      </c>
      <c r="D207" t="s">
        <v>26</v>
      </c>
      <c r="E207" t="s">
        <v>210</v>
      </c>
    </row>
    <row r="208" spans="1:5">
      <c r="A208" t="s">
        <v>413</v>
      </c>
      <c r="B208" t="s">
        <v>24</v>
      </c>
      <c r="C208" t="s">
        <v>142</v>
      </c>
      <c r="D208" t="s">
        <v>200</v>
      </c>
      <c r="E208" t="s">
        <v>201</v>
      </c>
    </row>
    <row r="209" spans="1:5">
      <c r="A209" t="s">
        <v>414</v>
      </c>
      <c r="B209" t="s">
        <v>36</v>
      </c>
      <c r="C209" t="s">
        <v>144</v>
      </c>
      <c r="D209" t="s">
        <v>215</v>
      </c>
      <c r="E209" t="s">
        <v>201</v>
      </c>
    </row>
    <row r="210" spans="1:5">
      <c r="A210" t="s">
        <v>415</v>
      </c>
      <c r="B210" t="s">
        <v>109</v>
      </c>
      <c r="C210" t="s">
        <v>148</v>
      </c>
      <c r="D210" t="s">
        <v>215</v>
      </c>
      <c r="E210" t="s">
        <v>204</v>
      </c>
    </row>
    <row r="211" spans="1:5">
      <c r="A211" t="s">
        <v>416</v>
      </c>
      <c r="B211" t="s">
        <v>68</v>
      </c>
      <c r="C211" t="s">
        <v>136</v>
      </c>
      <c r="D211" t="s">
        <v>206</v>
      </c>
      <c r="E211" t="s">
        <v>201</v>
      </c>
    </row>
    <row r="212" spans="1:5">
      <c r="A212" t="s">
        <v>417</v>
      </c>
      <c r="B212" t="s">
        <v>27</v>
      </c>
      <c r="C212" t="s">
        <v>146</v>
      </c>
      <c r="D212" t="s">
        <v>206</v>
      </c>
      <c r="E212" t="s">
        <v>201</v>
      </c>
    </row>
    <row r="213" spans="1:5">
      <c r="A213" t="s">
        <v>418</v>
      </c>
      <c r="B213" t="s">
        <v>54</v>
      </c>
      <c r="C213" t="s">
        <v>140</v>
      </c>
      <c r="D213" t="s">
        <v>206</v>
      </c>
      <c r="E213" t="s">
        <v>204</v>
      </c>
    </row>
    <row r="214" spans="1:5">
      <c r="A214" t="s">
        <v>419</v>
      </c>
      <c r="B214" t="s">
        <v>60</v>
      </c>
      <c r="C214" t="s">
        <v>134</v>
      </c>
      <c r="D214" t="s">
        <v>206</v>
      </c>
      <c r="E214" t="s">
        <v>210</v>
      </c>
    </row>
    <row r="215" spans="1:5">
      <c r="A215" t="s">
        <v>420</v>
      </c>
      <c r="B215" t="s">
        <v>45</v>
      </c>
      <c r="C215" t="s">
        <v>132</v>
      </c>
      <c r="D215" t="s">
        <v>215</v>
      </c>
      <c r="E215" t="s">
        <v>201</v>
      </c>
    </row>
    <row r="216" spans="1:5">
      <c r="A216" t="s">
        <v>421</v>
      </c>
      <c r="B216" t="s">
        <v>9</v>
      </c>
      <c r="C216" t="s">
        <v>140</v>
      </c>
      <c r="D216" t="s">
        <v>206</v>
      </c>
      <c r="E216" t="s">
        <v>210</v>
      </c>
    </row>
    <row r="217" spans="1:5">
      <c r="A217" t="s">
        <v>422</v>
      </c>
      <c r="B217" t="s">
        <v>12</v>
      </c>
      <c r="C217" t="s">
        <v>134</v>
      </c>
      <c r="D217" t="s">
        <v>200</v>
      </c>
      <c r="E217" t="s">
        <v>204</v>
      </c>
    </row>
    <row r="218" spans="1:5">
      <c r="A218" t="s">
        <v>423</v>
      </c>
      <c r="B218" t="s">
        <v>38</v>
      </c>
      <c r="C218" t="s">
        <v>142</v>
      </c>
      <c r="D218" t="s">
        <v>26</v>
      </c>
      <c r="E218" t="s">
        <v>204</v>
      </c>
    </row>
    <row r="219" spans="1:5">
      <c r="A219" t="s">
        <v>424</v>
      </c>
      <c r="B219" t="s">
        <v>122</v>
      </c>
      <c r="C219" t="s">
        <v>132</v>
      </c>
      <c r="D219" t="s">
        <v>203</v>
      </c>
      <c r="E219" t="s">
        <v>207</v>
      </c>
    </row>
    <row r="220" spans="1:5">
      <c r="A220" t="s">
        <v>425</v>
      </c>
      <c r="B220" t="s">
        <v>126</v>
      </c>
      <c r="C220" t="s">
        <v>140</v>
      </c>
      <c r="D220" t="s">
        <v>26</v>
      </c>
      <c r="E220" t="s">
        <v>204</v>
      </c>
    </row>
    <row r="221" spans="1:5">
      <c r="A221" t="s">
        <v>426</v>
      </c>
      <c r="B221" t="s">
        <v>84</v>
      </c>
      <c r="C221" t="s">
        <v>146</v>
      </c>
      <c r="D221" t="s">
        <v>206</v>
      </c>
      <c r="E221" t="s">
        <v>204</v>
      </c>
    </row>
    <row r="222" spans="1:5">
      <c r="A222" t="s">
        <v>427</v>
      </c>
      <c r="B222" t="s">
        <v>120</v>
      </c>
      <c r="C222" t="s">
        <v>146</v>
      </c>
      <c r="D222" t="s">
        <v>200</v>
      </c>
      <c r="E222" t="s">
        <v>207</v>
      </c>
    </row>
    <row r="223" spans="1:5">
      <c r="A223" t="s">
        <v>428</v>
      </c>
      <c r="B223" t="s">
        <v>109</v>
      </c>
      <c r="C223" t="s">
        <v>130</v>
      </c>
      <c r="D223" t="s">
        <v>215</v>
      </c>
      <c r="E223" t="s">
        <v>207</v>
      </c>
    </row>
    <row r="224" spans="1:5">
      <c r="A224" t="s">
        <v>429</v>
      </c>
      <c r="B224" t="s">
        <v>78</v>
      </c>
      <c r="C224" t="s">
        <v>142</v>
      </c>
      <c r="D224" t="s">
        <v>215</v>
      </c>
      <c r="E224" t="s">
        <v>207</v>
      </c>
    </row>
    <row r="225" spans="1:5">
      <c r="A225" t="s">
        <v>430</v>
      </c>
      <c r="B225" t="s">
        <v>118</v>
      </c>
      <c r="C225" t="s">
        <v>144</v>
      </c>
      <c r="D225" t="s">
        <v>215</v>
      </c>
      <c r="E225" t="s">
        <v>204</v>
      </c>
    </row>
    <row r="226" spans="1:5">
      <c r="A226" t="s">
        <v>431</v>
      </c>
      <c r="B226" t="s">
        <v>66</v>
      </c>
      <c r="C226" t="s">
        <v>148</v>
      </c>
      <c r="D226" t="s">
        <v>206</v>
      </c>
      <c r="E226" t="s">
        <v>204</v>
      </c>
    </row>
    <row r="227" spans="1:5">
      <c r="A227" t="s">
        <v>432</v>
      </c>
      <c r="B227" t="s">
        <v>38</v>
      </c>
      <c r="C227" t="s">
        <v>138</v>
      </c>
      <c r="D227" t="s">
        <v>26</v>
      </c>
      <c r="E227" t="s">
        <v>210</v>
      </c>
    </row>
    <row r="228" spans="1:5">
      <c r="A228" t="s">
        <v>433</v>
      </c>
      <c r="B228" t="s">
        <v>74</v>
      </c>
      <c r="C228" t="s">
        <v>148</v>
      </c>
      <c r="D228" t="s">
        <v>26</v>
      </c>
      <c r="E228" t="s">
        <v>210</v>
      </c>
    </row>
    <row r="229" spans="1:5">
      <c r="A229" t="s">
        <v>434</v>
      </c>
      <c r="B229" t="s">
        <v>85</v>
      </c>
      <c r="C229" t="s">
        <v>146</v>
      </c>
      <c r="D229" t="s">
        <v>26</v>
      </c>
      <c r="E229" t="s">
        <v>207</v>
      </c>
    </row>
    <row r="230" spans="1:5">
      <c r="A230" t="s">
        <v>435</v>
      </c>
      <c r="B230" t="s">
        <v>33</v>
      </c>
      <c r="C230" t="s">
        <v>132</v>
      </c>
      <c r="D230" t="s">
        <v>26</v>
      </c>
      <c r="E230" t="s">
        <v>201</v>
      </c>
    </row>
    <row r="231" spans="1:5">
      <c r="A231" t="s">
        <v>436</v>
      </c>
      <c r="B231" t="s">
        <v>82</v>
      </c>
      <c r="C231" t="s">
        <v>144</v>
      </c>
      <c r="D231" t="s">
        <v>206</v>
      </c>
      <c r="E231" t="s">
        <v>207</v>
      </c>
    </row>
    <row r="232" spans="1:5">
      <c r="A232" t="s">
        <v>437</v>
      </c>
      <c r="B232" t="s">
        <v>69</v>
      </c>
      <c r="C232" t="s">
        <v>144</v>
      </c>
      <c r="D232" t="s">
        <v>203</v>
      </c>
      <c r="E232" t="s">
        <v>207</v>
      </c>
    </row>
    <row r="233" spans="1:5">
      <c r="A233" t="s">
        <v>438</v>
      </c>
      <c r="B233" t="s">
        <v>120</v>
      </c>
      <c r="C233" t="s">
        <v>132</v>
      </c>
      <c r="D233" t="s">
        <v>200</v>
      </c>
      <c r="E233" t="s">
        <v>207</v>
      </c>
    </row>
    <row r="234" spans="1:5">
      <c r="A234" t="s">
        <v>439</v>
      </c>
      <c r="B234" t="s">
        <v>65</v>
      </c>
      <c r="C234" t="s">
        <v>138</v>
      </c>
      <c r="D234" t="s">
        <v>200</v>
      </c>
      <c r="E234" t="s">
        <v>201</v>
      </c>
    </row>
    <row r="235" spans="1:5">
      <c r="A235" t="s">
        <v>440</v>
      </c>
      <c r="B235" t="s">
        <v>114</v>
      </c>
      <c r="C235" t="s">
        <v>144</v>
      </c>
      <c r="D235" t="s">
        <v>215</v>
      </c>
      <c r="E235" t="s">
        <v>204</v>
      </c>
    </row>
    <row r="236" spans="1:5">
      <c r="A236" t="s">
        <v>441</v>
      </c>
      <c r="B236" t="s">
        <v>30</v>
      </c>
      <c r="C236" t="s">
        <v>132</v>
      </c>
      <c r="D236" t="s">
        <v>203</v>
      </c>
      <c r="E236" t="s">
        <v>204</v>
      </c>
    </row>
    <row r="237" spans="1:5">
      <c r="A237" t="s">
        <v>442</v>
      </c>
      <c r="B237" t="s">
        <v>122</v>
      </c>
      <c r="C237" t="s">
        <v>140</v>
      </c>
      <c r="D237" t="s">
        <v>206</v>
      </c>
      <c r="E237" t="s">
        <v>204</v>
      </c>
    </row>
    <row r="238" spans="1:5">
      <c r="A238" t="s">
        <v>443</v>
      </c>
      <c r="B238" t="s">
        <v>102</v>
      </c>
      <c r="C238" t="s">
        <v>146</v>
      </c>
      <c r="D238" t="s">
        <v>26</v>
      </c>
      <c r="E238" t="s">
        <v>210</v>
      </c>
    </row>
    <row r="239" spans="1:5">
      <c r="A239" t="s">
        <v>444</v>
      </c>
      <c r="B239" t="s">
        <v>112</v>
      </c>
      <c r="C239" t="s">
        <v>132</v>
      </c>
      <c r="D239" t="s">
        <v>203</v>
      </c>
      <c r="E239" t="s">
        <v>210</v>
      </c>
    </row>
    <row r="240" spans="1:5">
      <c r="A240" t="s">
        <v>445</v>
      </c>
      <c r="B240" t="s">
        <v>112</v>
      </c>
      <c r="C240" t="s">
        <v>142</v>
      </c>
      <c r="D240" t="s">
        <v>215</v>
      </c>
      <c r="E240" t="s">
        <v>210</v>
      </c>
    </row>
    <row r="241" spans="1:5">
      <c r="A241" t="s">
        <v>446</v>
      </c>
      <c r="B241" t="s">
        <v>103</v>
      </c>
      <c r="C241" t="s">
        <v>138</v>
      </c>
      <c r="D241" t="s">
        <v>200</v>
      </c>
      <c r="E241" t="s">
        <v>204</v>
      </c>
    </row>
    <row r="242" spans="1:5">
      <c r="A242" t="s">
        <v>447</v>
      </c>
      <c r="B242" t="s">
        <v>100</v>
      </c>
      <c r="C242" t="s">
        <v>146</v>
      </c>
      <c r="D242" t="s">
        <v>206</v>
      </c>
      <c r="E242" t="s">
        <v>201</v>
      </c>
    </row>
    <row r="243" spans="1:5">
      <c r="A243" t="s">
        <v>448</v>
      </c>
      <c r="B243" t="s">
        <v>111</v>
      </c>
      <c r="C243" t="s">
        <v>144</v>
      </c>
      <c r="D243" t="s">
        <v>206</v>
      </c>
      <c r="E243" t="s">
        <v>204</v>
      </c>
    </row>
    <row r="244" spans="1:5">
      <c r="A244" t="s">
        <v>449</v>
      </c>
      <c r="B244" t="s">
        <v>70</v>
      </c>
      <c r="C244" t="s">
        <v>146</v>
      </c>
      <c r="D244" t="s">
        <v>200</v>
      </c>
      <c r="E244" t="s">
        <v>204</v>
      </c>
    </row>
    <row r="245" spans="1:5">
      <c r="A245" t="s">
        <v>450</v>
      </c>
      <c r="B245" t="s">
        <v>124</v>
      </c>
      <c r="C245" t="s">
        <v>138</v>
      </c>
      <c r="D245" t="s">
        <v>26</v>
      </c>
      <c r="E245" t="s">
        <v>201</v>
      </c>
    </row>
    <row r="246" spans="1:5">
      <c r="A246" t="s">
        <v>451</v>
      </c>
      <c r="B246" t="s">
        <v>81</v>
      </c>
      <c r="C246" t="s">
        <v>146</v>
      </c>
      <c r="D246" t="s">
        <v>26</v>
      </c>
      <c r="E246" t="s">
        <v>204</v>
      </c>
    </row>
    <row r="247" spans="1:5">
      <c r="A247" t="s">
        <v>452</v>
      </c>
      <c r="B247" t="s">
        <v>104</v>
      </c>
      <c r="C247" t="s">
        <v>138</v>
      </c>
      <c r="D247" t="s">
        <v>215</v>
      </c>
      <c r="E247" t="s">
        <v>201</v>
      </c>
    </row>
    <row r="248" spans="1:5">
      <c r="A248" t="s">
        <v>453</v>
      </c>
      <c r="B248" t="s">
        <v>59</v>
      </c>
      <c r="C248" t="s">
        <v>138</v>
      </c>
      <c r="D248" t="s">
        <v>200</v>
      </c>
      <c r="E248" t="s">
        <v>210</v>
      </c>
    </row>
    <row r="249" spans="1:5">
      <c r="A249" t="s">
        <v>454</v>
      </c>
      <c r="B249" t="s">
        <v>5</v>
      </c>
      <c r="C249" t="s">
        <v>134</v>
      </c>
      <c r="D249" t="s">
        <v>206</v>
      </c>
      <c r="E249" t="s">
        <v>207</v>
      </c>
    </row>
    <row r="250" spans="1:5">
      <c r="A250" t="s">
        <v>455</v>
      </c>
      <c r="B250" t="s">
        <v>27</v>
      </c>
      <c r="C250" t="s">
        <v>134</v>
      </c>
      <c r="D250" t="s">
        <v>215</v>
      </c>
      <c r="E250" t="s">
        <v>204</v>
      </c>
    </row>
    <row r="251" spans="1:5">
      <c r="A251" t="s">
        <v>456</v>
      </c>
      <c r="B251" t="s">
        <v>122</v>
      </c>
      <c r="C251" t="s">
        <v>146</v>
      </c>
      <c r="D251" t="s">
        <v>206</v>
      </c>
      <c r="E251" t="s">
        <v>207</v>
      </c>
    </row>
    <row r="252" spans="1:5">
      <c r="A252" t="s">
        <v>457</v>
      </c>
      <c r="B252" t="s">
        <v>80</v>
      </c>
      <c r="C252" t="s">
        <v>144</v>
      </c>
      <c r="D252" t="s">
        <v>200</v>
      </c>
      <c r="E252" t="s">
        <v>201</v>
      </c>
    </row>
    <row r="253" spans="1:5">
      <c r="A253" t="s">
        <v>458</v>
      </c>
      <c r="B253" t="s">
        <v>73</v>
      </c>
      <c r="C253" t="s">
        <v>138</v>
      </c>
      <c r="D253" t="s">
        <v>200</v>
      </c>
      <c r="E253" t="s">
        <v>204</v>
      </c>
    </row>
    <row r="254" spans="1:5">
      <c r="A254" t="s">
        <v>459</v>
      </c>
      <c r="B254" t="s">
        <v>21</v>
      </c>
      <c r="C254" t="s">
        <v>134</v>
      </c>
      <c r="D254" t="s">
        <v>206</v>
      </c>
      <c r="E254" t="s">
        <v>204</v>
      </c>
    </row>
    <row r="255" spans="1:5">
      <c r="A255" t="s">
        <v>460</v>
      </c>
      <c r="B255" t="s">
        <v>113</v>
      </c>
      <c r="C255" t="s">
        <v>132</v>
      </c>
      <c r="D255" t="s">
        <v>200</v>
      </c>
      <c r="E255" t="s">
        <v>207</v>
      </c>
    </row>
    <row r="256" spans="1:5">
      <c r="A256" t="s">
        <v>461</v>
      </c>
      <c r="B256" t="s">
        <v>111</v>
      </c>
      <c r="C256" t="s">
        <v>142</v>
      </c>
      <c r="D256" t="s">
        <v>203</v>
      </c>
      <c r="E256" t="s">
        <v>207</v>
      </c>
    </row>
    <row r="257" spans="1:5">
      <c r="A257" t="s">
        <v>462</v>
      </c>
      <c r="B257" t="s">
        <v>80</v>
      </c>
      <c r="C257" t="s">
        <v>138</v>
      </c>
      <c r="D257" t="s">
        <v>206</v>
      </c>
      <c r="E257" t="s">
        <v>204</v>
      </c>
    </row>
    <row r="258" spans="1:5">
      <c r="A258" t="s">
        <v>463</v>
      </c>
      <c r="B258" t="s">
        <v>70</v>
      </c>
      <c r="C258" t="s">
        <v>142</v>
      </c>
      <c r="D258" t="s">
        <v>215</v>
      </c>
      <c r="E258" t="s">
        <v>210</v>
      </c>
    </row>
    <row r="259" spans="1:5">
      <c r="A259" t="s">
        <v>464</v>
      </c>
      <c r="B259" t="s">
        <v>113</v>
      </c>
      <c r="C259" t="s">
        <v>148</v>
      </c>
      <c r="D259" t="s">
        <v>203</v>
      </c>
      <c r="E259" t="s">
        <v>210</v>
      </c>
    </row>
    <row r="260" spans="1:5">
      <c r="A260" t="s">
        <v>465</v>
      </c>
      <c r="B260" t="s">
        <v>19</v>
      </c>
      <c r="C260" t="s">
        <v>136</v>
      </c>
      <c r="D260" t="s">
        <v>203</v>
      </c>
      <c r="E260" t="s">
        <v>204</v>
      </c>
    </row>
    <row r="261" spans="1:5">
      <c r="A261" t="s">
        <v>466</v>
      </c>
      <c r="B261" t="s">
        <v>5</v>
      </c>
      <c r="C261" t="s">
        <v>136</v>
      </c>
      <c r="D261" t="s">
        <v>200</v>
      </c>
      <c r="E261" t="s">
        <v>201</v>
      </c>
    </row>
    <row r="262" spans="1:5">
      <c r="A262" t="s">
        <v>467</v>
      </c>
      <c r="B262" t="s">
        <v>125</v>
      </c>
      <c r="C262" t="s">
        <v>134</v>
      </c>
      <c r="D262" t="s">
        <v>200</v>
      </c>
      <c r="E262" t="s">
        <v>210</v>
      </c>
    </row>
    <row r="263" spans="1:5">
      <c r="A263" t="s">
        <v>468</v>
      </c>
      <c r="B263" t="s">
        <v>66</v>
      </c>
      <c r="C263" t="s">
        <v>132</v>
      </c>
      <c r="D263" t="s">
        <v>215</v>
      </c>
      <c r="E263" t="s">
        <v>207</v>
      </c>
    </row>
    <row r="264" spans="1:5">
      <c r="A264" t="s">
        <v>469</v>
      </c>
      <c r="B264" t="s">
        <v>122</v>
      </c>
      <c r="C264" t="s">
        <v>142</v>
      </c>
      <c r="D264" t="s">
        <v>206</v>
      </c>
      <c r="E264" t="s">
        <v>201</v>
      </c>
    </row>
    <row r="265" spans="1:5">
      <c r="A265" t="s">
        <v>470</v>
      </c>
      <c r="B265" t="s">
        <v>74</v>
      </c>
      <c r="C265" t="s">
        <v>146</v>
      </c>
      <c r="D265" t="s">
        <v>206</v>
      </c>
      <c r="E265" t="s">
        <v>210</v>
      </c>
    </row>
    <row r="266" spans="1:5">
      <c r="A266" t="s">
        <v>471</v>
      </c>
      <c r="B266" t="s">
        <v>29</v>
      </c>
      <c r="C266" t="s">
        <v>142</v>
      </c>
      <c r="D266" t="s">
        <v>215</v>
      </c>
      <c r="E266" t="s">
        <v>207</v>
      </c>
    </row>
    <row r="267" spans="1:5">
      <c r="A267" t="s">
        <v>472</v>
      </c>
      <c r="B267" t="s">
        <v>12</v>
      </c>
      <c r="C267" t="s">
        <v>144</v>
      </c>
      <c r="D267" t="s">
        <v>215</v>
      </c>
      <c r="E267" t="s">
        <v>210</v>
      </c>
    </row>
    <row r="268" spans="1:5">
      <c r="A268" t="s">
        <v>473</v>
      </c>
      <c r="B268" t="s">
        <v>100</v>
      </c>
      <c r="C268" t="s">
        <v>142</v>
      </c>
      <c r="D268" t="s">
        <v>26</v>
      </c>
      <c r="E268" t="s">
        <v>207</v>
      </c>
    </row>
    <row r="269" spans="1:5">
      <c r="A269" t="s">
        <v>474</v>
      </c>
      <c r="B269" t="s">
        <v>117</v>
      </c>
      <c r="C269" t="s">
        <v>142</v>
      </c>
      <c r="D269" t="s">
        <v>200</v>
      </c>
      <c r="E269" t="s">
        <v>204</v>
      </c>
    </row>
    <row r="270" spans="1:5">
      <c r="A270" t="s">
        <v>475</v>
      </c>
      <c r="B270" t="s">
        <v>78</v>
      </c>
      <c r="C270" t="s">
        <v>130</v>
      </c>
      <c r="D270" t="s">
        <v>200</v>
      </c>
      <c r="E270" t="s">
        <v>201</v>
      </c>
    </row>
    <row r="271" spans="1:5">
      <c r="A271" t="s">
        <v>476</v>
      </c>
      <c r="B271" t="s">
        <v>106</v>
      </c>
      <c r="C271" t="s">
        <v>144</v>
      </c>
      <c r="D271" t="s">
        <v>200</v>
      </c>
      <c r="E271" t="s">
        <v>204</v>
      </c>
    </row>
    <row r="272" spans="1:5">
      <c r="A272" t="s">
        <v>477</v>
      </c>
      <c r="B272" t="s">
        <v>82</v>
      </c>
      <c r="C272" t="s">
        <v>132</v>
      </c>
      <c r="D272" t="s">
        <v>206</v>
      </c>
      <c r="E272" t="s">
        <v>207</v>
      </c>
    </row>
    <row r="273" spans="1:5">
      <c r="A273" t="s">
        <v>478</v>
      </c>
      <c r="B273" t="s">
        <v>102</v>
      </c>
      <c r="C273" t="s">
        <v>142</v>
      </c>
      <c r="D273" t="s">
        <v>26</v>
      </c>
      <c r="E273" t="s">
        <v>204</v>
      </c>
    </row>
    <row r="274" spans="1:5">
      <c r="A274" t="s">
        <v>479</v>
      </c>
      <c r="B274" t="s">
        <v>77</v>
      </c>
      <c r="C274" t="s">
        <v>138</v>
      </c>
      <c r="D274" t="s">
        <v>200</v>
      </c>
      <c r="E274" t="s">
        <v>201</v>
      </c>
    </row>
    <row r="275" spans="1:5">
      <c r="A275" t="s">
        <v>480</v>
      </c>
      <c r="B275" t="s">
        <v>68</v>
      </c>
      <c r="C275" t="s">
        <v>134</v>
      </c>
      <c r="D275" t="s">
        <v>215</v>
      </c>
      <c r="E275" t="s">
        <v>204</v>
      </c>
    </row>
    <row r="276" spans="1:5">
      <c r="A276" t="s">
        <v>481</v>
      </c>
      <c r="B276" t="s">
        <v>94</v>
      </c>
      <c r="C276" t="s">
        <v>146</v>
      </c>
      <c r="D276" t="s">
        <v>206</v>
      </c>
      <c r="E276" t="s">
        <v>210</v>
      </c>
    </row>
    <row r="277" spans="1:5">
      <c r="A277" t="s">
        <v>482</v>
      </c>
      <c r="B277" t="s">
        <v>70</v>
      </c>
      <c r="C277" t="s">
        <v>134</v>
      </c>
      <c r="D277" t="s">
        <v>206</v>
      </c>
      <c r="E277" t="s">
        <v>204</v>
      </c>
    </row>
    <row r="278" spans="1:5">
      <c r="A278" t="s">
        <v>483</v>
      </c>
      <c r="B278" t="s">
        <v>41</v>
      </c>
      <c r="C278" t="s">
        <v>138</v>
      </c>
      <c r="D278" t="s">
        <v>206</v>
      </c>
      <c r="E278" t="s">
        <v>201</v>
      </c>
    </row>
    <row r="279" spans="1:5">
      <c r="A279" t="s">
        <v>484</v>
      </c>
      <c r="B279" t="s">
        <v>104</v>
      </c>
      <c r="C279" t="s">
        <v>134</v>
      </c>
      <c r="D279" t="s">
        <v>215</v>
      </c>
      <c r="E279" t="s">
        <v>201</v>
      </c>
    </row>
    <row r="280" spans="1:5">
      <c r="A280" t="s">
        <v>485</v>
      </c>
      <c r="B280" t="s">
        <v>125</v>
      </c>
      <c r="C280" t="s">
        <v>144</v>
      </c>
      <c r="D280" t="s">
        <v>203</v>
      </c>
      <c r="E280" t="s">
        <v>207</v>
      </c>
    </row>
    <row r="281" spans="1:5">
      <c r="A281" t="s">
        <v>486</v>
      </c>
      <c r="B281" t="s">
        <v>114</v>
      </c>
      <c r="C281" t="s">
        <v>148</v>
      </c>
      <c r="D281" t="s">
        <v>26</v>
      </c>
      <c r="E281" t="s">
        <v>210</v>
      </c>
    </row>
    <row r="282" spans="1:5">
      <c r="A282" t="s">
        <v>487</v>
      </c>
      <c r="B282" t="s">
        <v>107</v>
      </c>
      <c r="C282" t="s">
        <v>140</v>
      </c>
      <c r="D282" t="s">
        <v>206</v>
      </c>
      <c r="E282" t="s">
        <v>207</v>
      </c>
    </row>
    <row r="283" spans="1:5">
      <c r="A283" t="s">
        <v>488</v>
      </c>
      <c r="B283" t="s">
        <v>27</v>
      </c>
      <c r="C283" t="s">
        <v>144</v>
      </c>
      <c r="D283" t="s">
        <v>203</v>
      </c>
      <c r="E283" t="s">
        <v>210</v>
      </c>
    </row>
    <row r="284" spans="1:5">
      <c r="A284" t="s">
        <v>489</v>
      </c>
      <c r="B284" t="s">
        <v>60</v>
      </c>
      <c r="C284" t="s">
        <v>148</v>
      </c>
      <c r="D284" t="s">
        <v>215</v>
      </c>
      <c r="E284" t="s">
        <v>210</v>
      </c>
    </row>
    <row r="285" spans="1:5">
      <c r="A285" t="s">
        <v>490</v>
      </c>
      <c r="B285" t="s">
        <v>91</v>
      </c>
      <c r="C285" t="s">
        <v>132</v>
      </c>
      <c r="D285" t="s">
        <v>200</v>
      </c>
      <c r="E285" t="s">
        <v>207</v>
      </c>
    </row>
    <row r="286" spans="1:5">
      <c r="A286" t="s">
        <v>491</v>
      </c>
      <c r="B286" t="s">
        <v>84</v>
      </c>
      <c r="C286" t="s">
        <v>130</v>
      </c>
      <c r="D286" t="s">
        <v>215</v>
      </c>
      <c r="E286" t="s">
        <v>210</v>
      </c>
    </row>
    <row r="287" spans="1:5">
      <c r="A287" t="s">
        <v>492</v>
      </c>
      <c r="B287" t="s">
        <v>61</v>
      </c>
      <c r="C287" t="s">
        <v>132</v>
      </c>
      <c r="D287" t="s">
        <v>215</v>
      </c>
      <c r="E287" t="s">
        <v>207</v>
      </c>
    </row>
    <row r="288" spans="1:5">
      <c r="A288" t="s">
        <v>493</v>
      </c>
      <c r="B288" t="s">
        <v>86</v>
      </c>
      <c r="C288" t="s">
        <v>148</v>
      </c>
      <c r="D288" t="s">
        <v>26</v>
      </c>
      <c r="E288" t="s">
        <v>204</v>
      </c>
    </row>
    <row r="289" spans="1:5">
      <c r="A289" t="s">
        <v>494</v>
      </c>
      <c r="B289" t="s">
        <v>84</v>
      </c>
      <c r="C289" t="s">
        <v>148</v>
      </c>
      <c r="D289" t="s">
        <v>206</v>
      </c>
      <c r="E289" t="s">
        <v>210</v>
      </c>
    </row>
    <row r="290" spans="1:5">
      <c r="A290" t="s">
        <v>495</v>
      </c>
      <c r="B290" t="s">
        <v>104</v>
      </c>
      <c r="C290" t="s">
        <v>144</v>
      </c>
      <c r="D290" t="s">
        <v>26</v>
      </c>
      <c r="E290" t="s">
        <v>201</v>
      </c>
    </row>
    <row r="291" spans="1:5">
      <c r="A291" t="s">
        <v>496</v>
      </c>
      <c r="B291" t="s">
        <v>24</v>
      </c>
      <c r="C291" t="s">
        <v>144</v>
      </c>
      <c r="D291" t="s">
        <v>215</v>
      </c>
      <c r="E291" t="s">
        <v>210</v>
      </c>
    </row>
    <row r="292" spans="1:5">
      <c r="A292" t="s">
        <v>497</v>
      </c>
      <c r="B292" t="s">
        <v>118</v>
      </c>
      <c r="C292" t="s">
        <v>132</v>
      </c>
      <c r="D292" t="s">
        <v>26</v>
      </c>
      <c r="E292" t="s">
        <v>201</v>
      </c>
    </row>
    <row r="293" spans="1:5">
      <c r="A293" t="s">
        <v>498</v>
      </c>
      <c r="B293" t="s">
        <v>19</v>
      </c>
      <c r="C293" t="s">
        <v>136</v>
      </c>
      <c r="D293" t="s">
        <v>203</v>
      </c>
      <c r="E293" t="s">
        <v>207</v>
      </c>
    </row>
    <row r="294" spans="1:5">
      <c r="A294" t="s">
        <v>499</v>
      </c>
      <c r="B294" t="s">
        <v>94</v>
      </c>
      <c r="C294" t="s">
        <v>146</v>
      </c>
      <c r="D294" t="s">
        <v>26</v>
      </c>
      <c r="E294" t="s">
        <v>201</v>
      </c>
    </row>
    <row r="295" spans="1:5">
      <c r="A295" t="s">
        <v>500</v>
      </c>
      <c r="B295" t="s">
        <v>72</v>
      </c>
      <c r="C295" t="s">
        <v>140</v>
      </c>
      <c r="D295" t="s">
        <v>200</v>
      </c>
      <c r="E295" t="s">
        <v>207</v>
      </c>
    </row>
    <row r="296" spans="1:5">
      <c r="A296" t="s">
        <v>501</v>
      </c>
      <c r="B296" t="s">
        <v>79</v>
      </c>
      <c r="C296" t="s">
        <v>140</v>
      </c>
      <c r="D296" t="s">
        <v>26</v>
      </c>
      <c r="E296" t="s">
        <v>204</v>
      </c>
    </row>
    <row r="297" spans="1:5">
      <c r="A297" t="s">
        <v>502</v>
      </c>
      <c r="B297" t="s">
        <v>107</v>
      </c>
      <c r="C297" t="s">
        <v>140</v>
      </c>
      <c r="D297" t="s">
        <v>215</v>
      </c>
      <c r="E297" t="s">
        <v>210</v>
      </c>
    </row>
    <row r="298" spans="1:5">
      <c r="A298" t="s">
        <v>503</v>
      </c>
      <c r="B298" t="s">
        <v>33</v>
      </c>
      <c r="C298" t="s">
        <v>146</v>
      </c>
      <c r="D298" t="s">
        <v>203</v>
      </c>
      <c r="E298" t="s">
        <v>210</v>
      </c>
    </row>
    <row r="299" spans="1:5">
      <c r="A299" t="s">
        <v>504</v>
      </c>
      <c r="B299" t="s">
        <v>57</v>
      </c>
      <c r="C299" t="s">
        <v>148</v>
      </c>
      <c r="D299" t="s">
        <v>206</v>
      </c>
      <c r="E299" t="s">
        <v>210</v>
      </c>
    </row>
    <row r="300" spans="1:5">
      <c r="A300" t="s">
        <v>505</v>
      </c>
      <c r="B300" t="s">
        <v>30</v>
      </c>
      <c r="C300" t="s">
        <v>148</v>
      </c>
      <c r="D300" t="s">
        <v>206</v>
      </c>
      <c r="E300" t="s">
        <v>210</v>
      </c>
    </row>
    <row r="301" spans="1:5">
      <c r="A301" t="s">
        <v>506</v>
      </c>
      <c r="B301" t="s">
        <v>64</v>
      </c>
      <c r="C301" t="s">
        <v>142</v>
      </c>
      <c r="D301" t="s">
        <v>206</v>
      </c>
      <c r="E301" t="s">
        <v>204</v>
      </c>
    </row>
    <row r="302" spans="1:5">
      <c r="A302" t="s">
        <v>507</v>
      </c>
      <c r="B302" t="s">
        <v>64</v>
      </c>
      <c r="C302" t="s">
        <v>146</v>
      </c>
      <c r="D302" t="s">
        <v>203</v>
      </c>
      <c r="E302" t="s">
        <v>210</v>
      </c>
    </row>
    <row r="303" spans="1:5">
      <c r="A303" t="s">
        <v>508</v>
      </c>
      <c r="B303" t="s">
        <v>38</v>
      </c>
      <c r="C303" t="s">
        <v>146</v>
      </c>
      <c r="D303" t="s">
        <v>215</v>
      </c>
      <c r="E303" t="s">
        <v>207</v>
      </c>
    </row>
    <row r="304" spans="1:5">
      <c r="A304" t="s">
        <v>509</v>
      </c>
      <c r="B304" t="s">
        <v>92</v>
      </c>
      <c r="C304" t="s">
        <v>140</v>
      </c>
      <c r="D304" t="s">
        <v>215</v>
      </c>
      <c r="E304" t="s">
        <v>210</v>
      </c>
    </row>
    <row r="305" spans="1:5">
      <c r="A305" t="s">
        <v>510</v>
      </c>
      <c r="B305" t="s">
        <v>64</v>
      </c>
      <c r="C305" t="s">
        <v>134</v>
      </c>
      <c r="D305" t="s">
        <v>206</v>
      </c>
      <c r="E305" t="s">
        <v>210</v>
      </c>
    </row>
    <row r="306" spans="1:5">
      <c r="A306" t="s">
        <v>511</v>
      </c>
      <c r="B306" t="s">
        <v>125</v>
      </c>
      <c r="C306" t="s">
        <v>144</v>
      </c>
      <c r="D306" t="s">
        <v>206</v>
      </c>
      <c r="E306" t="s">
        <v>201</v>
      </c>
    </row>
    <row r="307" spans="1:5">
      <c r="A307" t="s">
        <v>512</v>
      </c>
      <c r="B307" t="s">
        <v>40</v>
      </c>
      <c r="C307" t="s">
        <v>134</v>
      </c>
      <c r="D307" t="s">
        <v>215</v>
      </c>
      <c r="E307" t="s">
        <v>210</v>
      </c>
    </row>
    <row r="308" spans="1:5">
      <c r="A308" t="s">
        <v>513</v>
      </c>
      <c r="B308" t="s">
        <v>33</v>
      </c>
      <c r="C308" t="s">
        <v>146</v>
      </c>
      <c r="D308" t="s">
        <v>26</v>
      </c>
      <c r="E308" t="s">
        <v>204</v>
      </c>
    </row>
    <row r="309" spans="1:5">
      <c r="A309" t="s">
        <v>514</v>
      </c>
      <c r="B309" t="s">
        <v>111</v>
      </c>
      <c r="C309" t="s">
        <v>140</v>
      </c>
      <c r="D309" t="s">
        <v>26</v>
      </c>
      <c r="E309" t="s">
        <v>201</v>
      </c>
    </row>
    <row r="310" spans="1:5">
      <c r="A310" t="s">
        <v>515</v>
      </c>
      <c r="B310" t="s">
        <v>103</v>
      </c>
      <c r="C310" t="s">
        <v>142</v>
      </c>
      <c r="D310" t="s">
        <v>206</v>
      </c>
      <c r="E310" t="s">
        <v>201</v>
      </c>
    </row>
    <row r="311" spans="1:5">
      <c r="A311" t="s">
        <v>516</v>
      </c>
      <c r="B311" t="s">
        <v>46</v>
      </c>
      <c r="C311" t="s">
        <v>148</v>
      </c>
      <c r="D311" t="s">
        <v>206</v>
      </c>
      <c r="E311" t="s">
        <v>207</v>
      </c>
    </row>
    <row r="312" spans="1:5">
      <c r="A312" t="s">
        <v>517</v>
      </c>
      <c r="B312" t="s">
        <v>19</v>
      </c>
      <c r="C312" t="s">
        <v>142</v>
      </c>
      <c r="D312" t="s">
        <v>200</v>
      </c>
      <c r="E312" t="s">
        <v>201</v>
      </c>
    </row>
    <row r="313" spans="1:5">
      <c r="A313" t="s">
        <v>518</v>
      </c>
      <c r="B313" t="s">
        <v>83</v>
      </c>
      <c r="C313" t="s">
        <v>148</v>
      </c>
      <c r="D313" t="s">
        <v>200</v>
      </c>
      <c r="E313" t="s">
        <v>207</v>
      </c>
    </row>
    <row r="314" spans="1:5">
      <c r="A314" t="s">
        <v>519</v>
      </c>
      <c r="B314" t="s">
        <v>54</v>
      </c>
      <c r="C314" t="s">
        <v>146</v>
      </c>
      <c r="D314" t="s">
        <v>206</v>
      </c>
      <c r="E314" t="s">
        <v>210</v>
      </c>
    </row>
    <row r="315" spans="1:5">
      <c r="A315" t="s">
        <v>520</v>
      </c>
      <c r="B315" t="s">
        <v>87</v>
      </c>
      <c r="C315" t="s">
        <v>136</v>
      </c>
      <c r="D315" t="s">
        <v>200</v>
      </c>
      <c r="E315" t="s">
        <v>207</v>
      </c>
    </row>
    <row r="316" spans="1:5">
      <c r="A316" t="s">
        <v>521</v>
      </c>
      <c r="B316" t="s">
        <v>86</v>
      </c>
      <c r="C316" t="s">
        <v>138</v>
      </c>
      <c r="D316" t="s">
        <v>203</v>
      </c>
      <c r="E316" t="s">
        <v>207</v>
      </c>
    </row>
    <row r="317" spans="1:5">
      <c r="A317" t="s">
        <v>522</v>
      </c>
      <c r="B317" t="s">
        <v>43</v>
      </c>
      <c r="C317" t="s">
        <v>136</v>
      </c>
      <c r="D317" t="s">
        <v>26</v>
      </c>
      <c r="E317" t="s">
        <v>201</v>
      </c>
    </row>
    <row r="318" spans="1:5">
      <c r="A318" t="s">
        <v>523</v>
      </c>
      <c r="B318" t="s">
        <v>57</v>
      </c>
      <c r="C318" t="s">
        <v>130</v>
      </c>
      <c r="D318" t="s">
        <v>203</v>
      </c>
      <c r="E318" t="s">
        <v>210</v>
      </c>
    </row>
    <row r="319" spans="1:5">
      <c r="A319" t="s">
        <v>524</v>
      </c>
      <c r="B319" t="s">
        <v>97</v>
      </c>
      <c r="C319" t="s">
        <v>132</v>
      </c>
      <c r="D319" t="s">
        <v>26</v>
      </c>
      <c r="E319" t="s">
        <v>204</v>
      </c>
    </row>
    <row r="320" spans="1:5">
      <c r="A320" t="s">
        <v>525</v>
      </c>
      <c r="B320" t="s">
        <v>61</v>
      </c>
      <c r="C320" t="s">
        <v>132</v>
      </c>
      <c r="D320" t="s">
        <v>206</v>
      </c>
      <c r="E320" t="s">
        <v>210</v>
      </c>
    </row>
    <row r="321" spans="1:5">
      <c r="A321" t="s">
        <v>526</v>
      </c>
      <c r="B321" t="s">
        <v>84</v>
      </c>
      <c r="C321" t="s">
        <v>146</v>
      </c>
      <c r="D321" t="s">
        <v>206</v>
      </c>
      <c r="E321" t="s">
        <v>207</v>
      </c>
    </row>
    <row r="322" spans="1:5">
      <c r="A322" t="s">
        <v>527</v>
      </c>
      <c r="B322" t="s">
        <v>32</v>
      </c>
      <c r="C322" t="s">
        <v>136</v>
      </c>
      <c r="D322" t="s">
        <v>203</v>
      </c>
      <c r="E322" t="s">
        <v>210</v>
      </c>
    </row>
    <row r="323" spans="1:5">
      <c r="A323" t="s">
        <v>528</v>
      </c>
      <c r="B323" t="s">
        <v>13</v>
      </c>
      <c r="C323" t="s">
        <v>142</v>
      </c>
      <c r="D323" t="s">
        <v>215</v>
      </c>
      <c r="E323" t="s">
        <v>207</v>
      </c>
    </row>
    <row r="324" spans="1:5">
      <c r="A324" t="s">
        <v>529</v>
      </c>
      <c r="B324" t="s">
        <v>91</v>
      </c>
      <c r="C324" t="s">
        <v>140</v>
      </c>
      <c r="D324" t="s">
        <v>206</v>
      </c>
      <c r="E324" t="s">
        <v>207</v>
      </c>
    </row>
    <row r="325" spans="1:5">
      <c r="A325" t="s">
        <v>530</v>
      </c>
      <c r="B325" t="s">
        <v>30</v>
      </c>
      <c r="C325" t="s">
        <v>140</v>
      </c>
      <c r="D325" t="s">
        <v>206</v>
      </c>
      <c r="E325" t="s">
        <v>204</v>
      </c>
    </row>
    <row r="326" spans="1:5">
      <c r="A326" t="s">
        <v>531</v>
      </c>
      <c r="B326" t="s">
        <v>65</v>
      </c>
      <c r="C326" t="s">
        <v>132</v>
      </c>
      <c r="D326" t="s">
        <v>200</v>
      </c>
      <c r="E326" t="s">
        <v>201</v>
      </c>
    </row>
    <row r="327" spans="1:5">
      <c r="A327" t="s">
        <v>532</v>
      </c>
      <c r="B327" t="s">
        <v>40</v>
      </c>
      <c r="C327" t="s">
        <v>130</v>
      </c>
      <c r="D327" t="s">
        <v>200</v>
      </c>
      <c r="E327" t="s">
        <v>207</v>
      </c>
    </row>
    <row r="328" spans="1:5">
      <c r="A328" t="s">
        <v>533</v>
      </c>
      <c r="B328" t="s">
        <v>116</v>
      </c>
      <c r="C328" t="s">
        <v>134</v>
      </c>
      <c r="D328" t="s">
        <v>203</v>
      </c>
      <c r="E328" t="s">
        <v>207</v>
      </c>
    </row>
    <row r="329" spans="1:5">
      <c r="A329" t="s">
        <v>534</v>
      </c>
      <c r="B329" t="s">
        <v>105</v>
      </c>
      <c r="C329" t="s">
        <v>130</v>
      </c>
      <c r="D329" t="s">
        <v>215</v>
      </c>
      <c r="E329" t="s">
        <v>204</v>
      </c>
    </row>
    <row r="330" spans="1:5">
      <c r="A330" t="s">
        <v>535</v>
      </c>
      <c r="B330" t="s">
        <v>57</v>
      </c>
      <c r="C330" t="s">
        <v>136</v>
      </c>
      <c r="D330" t="s">
        <v>206</v>
      </c>
      <c r="E330" t="s">
        <v>207</v>
      </c>
    </row>
    <row r="331" spans="1:5">
      <c r="A331" t="s">
        <v>536</v>
      </c>
      <c r="B331" t="s">
        <v>35</v>
      </c>
      <c r="C331" t="s">
        <v>138</v>
      </c>
      <c r="D331" t="s">
        <v>206</v>
      </c>
      <c r="E331" t="s">
        <v>210</v>
      </c>
    </row>
    <row r="332" spans="1:5">
      <c r="A332" t="s">
        <v>537</v>
      </c>
      <c r="B332" t="s">
        <v>36</v>
      </c>
      <c r="C332" t="s">
        <v>130</v>
      </c>
      <c r="D332" t="s">
        <v>206</v>
      </c>
      <c r="E332" t="s">
        <v>207</v>
      </c>
    </row>
    <row r="333" spans="1:5">
      <c r="A333" t="s">
        <v>538</v>
      </c>
      <c r="B333" t="s">
        <v>108</v>
      </c>
      <c r="C333" t="s">
        <v>148</v>
      </c>
      <c r="D333" t="s">
        <v>203</v>
      </c>
      <c r="E333" t="s">
        <v>204</v>
      </c>
    </row>
    <row r="334" spans="1:5">
      <c r="A334" t="s">
        <v>539</v>
      </c>
      <c r="B334" t="s">
        <v>35</v>
      </c>
      <c r="C334" t="s">
        <v>144</v>
      </c>
      <c r="D334" t="s">
        <v>26</v>
      </c>
      <c r="E334" t="s">
        <v>204</v>
      </c>
    </row>
    <row r="335" spans="1:5">
      <c r="A335" t="s">
        <v>540</v>
      </c>
      <c r="B335" t="s">
        <v>107</v>
      </c>
      <c r="C335" t="s">
        <v>146</v>
      </c>
      <c r="D335" t="s">
        <v>26</v>
      </c>
      <c r="E335" t="s">
        <v>201</v>
      </c>
    </row>
    <row r="336" spans="1:5">
      <c r="A336" t="s">
        <v>541</v>
      </c>
      <c r="B336" t="s">
        <v>118</v>
      </c>
      <c r="C336" t="s">
        <v>134</v>
      </c>
      <c r="D336" t="s">
        <v>200</v>
      </c>
      <c r="E336" t="s">
        <v>207</v>
      </c>
    </row>
    <row r="337" spans="1:5">
      <c r="A337" t="s">
        <v>542</v>
      </c>
      <c r="B337" t="s">
        <v>5</v>
      </c>
      <c r="C337" t="s">
        <v>148</v>
      </c>
      <c r="D337" t="s">
        <v>200</v>
      </c>
      <c r="E337" t="s">
        <v>201</v>
      </c>
    </row>
    <row r="338" spans="1:5">
      <c r="A338" t="s">
        <v>543</v>
      </c>
      <c r="B338" t="s">
        <v>100</v>
      </c>
      <c r="C338" t="s">
        <v>142</v>
      </c>
      <c r="D338" t="s">
        <v>206</v>
      </c>
      <c r="E338" t="s">
        <v>204</v>
      </c>
    </row>
    <row r="339" spans="1:5">
      <c r="A339" t="s">
        <v>544</v>
      </c>
      <c r="B339" t="s">
        <v>94</v>
      </c>
      <c r="C339" t="s">
        <v>140</v>
      </c>
      <c r="D339" t="s">
        <v>215</v>
      </c>
      <c r="E339" t="s">
        <v>204</v>
      </c>
    </row>
    <row r="340" spans="1:5">
      <c r="A340" t="s">
        <v>545</v>
      </c>
      <c r="B340" t="s">
        <v>76</v>
      </c>
      <c r="C340" t="s">
        <v>144</v>
      </c>
      <c r="D340" t="s">
        <v>215</v>
      </c>
      <c r="E340" t="s">
        <v>207</v>
      </c>
    </row>
    <row r="341" spans="1:5">
      <c r="A341" t="s">
        <v>546</v>
      </c>
      <c r="B341" t="s">
        <v>73</v>
      </c>
      <c r="C341" t="s">
        <v>138</v>
      </c>
      <c r="D341" t="s">
        <v>215</v>
      </c>
      <c r="E341" t="s">
        <v>210</v>
      </c>
    </row>
    <row r="342" spans="1:5">
      <c r="A342" t="s">
        <v>547</v>
      </c>
      <c r="B342" t="s">
        <v>27</v>
      </c>
      <c r="C342" t="s">
        <v>140</v>
      </c>
      <c r="D342" t="s">
        <v>206</v>
      </c>
      <c r="E342" t="s">
        <v>204</v>
      </c>
    </row>
    <row r="343" spans="1:5">
      <c r="A343" t="s">
        <v>548</v>
      </c>
      <c r="B343" t="s">
        <v>125</v>
      </c>
      <c r="C343" t="s">
        <v>148</v>
      </c>
      <c r="D343" t="s">
        <v>200</v>
      </c>
      <c r="E343" t="s">
        <v>201</v>
      </c>
    </row>
    <row r="344" spans="1:5">
      <c r="A344" t="s">
        <v>549</v>
      </c>
      <c r="B344" t="s">
        <v>19</v>
      </c>
      <c r="C344" t="s">
        <v>140</v>
      </c>
      <c r="D344" t="s">
        <v>26</v>
      </c>
      <c r="E344" t="s">
        <v>210</v>
      </c>
    </row>
    <row r="345" spans="1:5">
      <c r="A345" t="s">
        <v>550</v>
      </c>
      <c r="B345" t="s">
        <v>109</v>
      </c>
      <c r="C345" t="s">
        <v>134</v>
      </c>
      <c r="D345" t="s">
        <v>203</v>
      </c>
      <c r="E345" t="s">
        <v>207</v>
      </c>
    </row>
    <row r="346" spans="1:5">
      <c r="A346" t="s">
        <v>551</v>
      </c>
      <c r="B346" t="s">
        <v>107</v>
      </c>
      <c r="C346" t="s">
        <v>134</v>
      </c>
      <c r="D346" t="s">
        <v>206</v>
      </c>
      <c r="E346" t="s">
        <v>204</v>
      </c>
    </row>
    <row r="347" spans="1:5">
      <c r="A347" t="s">
        <v>552</v>
      </c>
      <c r="B347" t="s">
        <v>118</v>
      </c>
      <c r="C347" t="s">
        <v>144</v>
      </c>
      <c r="D347" t="s">
        <v>215</v>
      </c>
      <c r="E347" t="s">
        <v>210</v>
      </c>
    </row>
    <row r="348" spans="1:5">
      <c r="A348" t="s">
        <v>553</v>
      </c>
      <c r="B348" t="s">
        <v>49</v>
      </c>
      <c r="C348" t="s">
        <v>130</v>
      </c>
      <c r="D348" t="s">
        <v>206</v>
      </c>
      <c r="E348" t="s">
        <v>204</v>
      </c>
    </row>
    <row r="349" spans="1:5">
      <c r="A349" t="s">
        <v>554</v>
      </c>
      <c r="B349" t="s">
        <v>65</v>
      </c>
      <c r="C349" t="s">
        <v>138</v>
      </c>
      <c r="D349" t="s">
        <v>26</v>
      </c>
      <c r="E349" t="s">
        <v>207</v>
      </c>
    </row>
    <row r="350" spans="1:5">
      <c r="A350" t="s">
        <v>555</v>
      </c>
      <c r="B350" t="s">
        <v>96</v>
      </c>
      <c r="C350" t="s">
        <v>144</v>
      </c>
      <c r="D350" t="s">
        <v>200</v>
      </c>
      <c r="E350" t="s">
        <v>204</v>
      </c>
    </row>
    <row r="351" spans="1:5">
      <c r="A351" t="s">
        <v>556</v>
      </c>
      <c r="B351" t="s">
        <v>123</v>
      </c>
      <c r="C351" t="s">
        <v>136</v>
      </c>
      <c r="D351" t="s">
        <v>200</v>
      </c>
      <c r="E351" t="s">
        <v>210</v>
      </c>
    </row>
    <row r="352" spans="1:5">
      <c r="A352" t="s">
        <v>557</v>
      </c>
      <c r="B352" t="s">
        <v>126</v>
      </c>
      <c r="C352" t="s">
        <v>130</v>
      </c>
      <c r="D352" t="s">
        <v>200</v>
      </c>
      <c r="E352" t="s">
        <v>210</v>
      </c>
    </row>
    <row r="353" spans="1:5">
      <c r="A353" t="s">
        <v>558</v>
      </c>
      <c r="B353" t="s">
        <v>36</v>
      </c>
      <c r="C353" t="s">
        <v>140</v>
      </c>
      <c r="D353" t="s">
        <v>203</v>
      </c>
      <c r="E353" t="s">
        <v>207</v>
      </c>
    </row>
    <row r="354" spans="1:5">
      <c r="A354" t="s">
        <v>559</v>
      </c>
      <c r="B354" t="s">
        <v>122</v>
      </c>
      <c r="C354" t="s">
        <v>144</v>
      </c>
      <c r="D354" t="s">
        <v>203</v>
      </c>
      <c r="E354" t="s">
        <v>210</v>
      </c>
    </row>
    <row r="355" spans="1:5">
      <c r="A355" t="s">
        <v>560</v>
      </c>
      <c r="B355" t="s">
        <v>46</v>
      </c>
      <c r="C355" t="s">
        <v>144</v>
      </c>
      <c r="D355" t="s">
        <v>203</v>
      </c>
      <c r="E355" t="s">
        <v>210</v>
      </c>
    </row>
    <row r="356" spans="1:5">
      <c r="A356" t="s">
        <v>561</v>
      </c>
      <c r="B356" t="s">
        <v>93</v>
      </c>
      <c r="C356" t="s">
        <v>138</v>
      </c>
      <c r="D356" t="s">
        <v>215</v>
      </c>
      <c r="E356" t="s">
        <v>207</v>
      </c>
    </row>
    <row r="357" spans="1:5">
      <c r="A357" t="s">
        <v>562</v>
      </c>
      <c r="B357" t="s">
        <v>30</v>
      </c>
      <c r="C357" t="s">
        <v>142</v>
      </c>
      <c r="D357" t="s">
        <v>26</v>
      </c>
      <c r="E357" t="s">
        <v>201</v>
      </c>
    </row>
    <row r="358" spans="1:5">
      <c r="A358" t="s">
        <v>563</v>
      </c>
      <c r="B358" t="s">
        <v>96</v>
      </c>
      <c r="C358" t="s">
        <v>138</v>
      </c>
      <c r="D358" t="s">
        <v>200</v>
      </c>
      <c r="E358" t="s">
        <v>204</v>
      </c>
    </row>
    <row r="359" spans="1:5">
      <c r="A359" t="s">
        <v>564</v>
      </c>
      <c r="B359" t="s">
        <v>30</v>
      </c>
      <c r="C359" t="s">
        <v>140</v>
      </c>
      <c r="D359" t="s">
        <v>200</v>
      </c>
      <c r="E359" t="s">
        <v>210</v>
      </c>
    </row>
    <row r="360" spans="1:5">
      <c r="A360" t="s">
        <v>565</v>
      </c>
      <c r="B360" t="s">
        <v>84</v>
      </c>
      <c r="C360" t="s">
        <v>148</v>
      </c>
      <c r="D360" t="s">
        <v>203</v>
      </c>
      <c r="E360" t="s">
        <v>201</v>
      </c>
    </row>
    <row r="361" spans="1:5">
      <c r="A361" t="s">
        <v>566</v>
      </c>
      <c r="B361" t="s">
        <v>115</v>
      </c>
      <c r="C361" t="s">
        <v>144</v>
      </c>
      <c r="D361" t="s">
        <v>200</v>
      </c>
      <c r="E361" t="s">
        <v>207</v>
      </c>
    </row>
    <row r="362" spans="1:5">
      <c r="A362" t="s">
        <v>567</v>
      </c>
      <c r="B362" t="s">
        <v>19</v>
      </c>
      <c r="C362" t="s">
        <v>140</v>
      </c>
      <c r="D362" t="s">
        <v>26</v>
      </c>
      <c r="E362" t="s">
        <v>207</v>
      </c>
    </row>
    <row r="363" spans="1:5">
      <c r="A363" t="s">
        <v>568</v>
      </c>
      <c r="B363" t="s">
        <v>60</v>
      </c>
      <c r="C363" t="s">
        <v>130</v>
      </c>
      <c r="D363" t="s">
        <v>215</v>
      </c>
      <c r="E363" t="s">
        <v>207</v>
      </c>
    </row>
    <row r="364" spans="1:5">
      <c r="A364" t="s">
        <v>569</v>
      </c>
      <c r="B364" t="s">
        <v>72</v>
      </c>
      <c r="C364" t="s">
        <v>146</v>
      </c>
      <c r="D364" t="s">
        <v>206</v>
      </c>
      <c r="E364" t="s">
        <v>204</v>
      </c>
    </row>
    <row r="365" spans="1:5">
      <c r="A365" t="s">
        <v>570</v>
      </c>
      <c r="B365" t="s">
        <v>41</v>
      </c>
      <c r="C365" t="s">
        <v>148</v>
      </c>
      <c r="D365" t="s">
        <v>203</v>
      </c>
      <c r="E365" t="s">
        <v>204</v>
      </c>
    </row>
    <row r="366" spans="1:5">
      <c r="A366" t="s">
        <v>571</v>
      </c>
      <c r="B366" t="s">
        <v>38</v>
      </c>
      <c r="C366" t="s">
        <v>132</v>
      </c>
      <c r="D366" t="s">
        <v>206</v>
      </c>
      <c r="E366" t="s">
        <v>210</v>
      </c>
    </row>
    <row r="367" spans="1:5">
      <c r="A367" t="s">
        <v>572</v>
      </c>
      <c r="B367" t="s">
        <v>72</v>
      </c>
      <c r="C367" t="s">
        <v>142</v>
      </c>
      <c r="D367" t="s">
        <v>26</v>
      </c>
      <c r="E367" t="s">
        <v>204</v>
      </c>
    </row>
    <row r="368" spans="1:5">
      <c r="A368" t="s">
        <v>573</v>
      </c>
      <c r="B368" t="s">
        <v>104</v>
      </c>
      <c r="C368" t="s">
        <v>134</v>
      </c>
      <c r="D368" t="s">
        <v>203</v>
      </c>
      <c r="E368" t="s">
        <v>210</v>
      </c>
    </row>
    <row r="369" spans="1:5">
      <c r="A369" t="s">
        <v>574</v>
      </c>
      <c r="B369" t="s">
        <v>73</v>
      </c>
      <c r="C369" t="s">
        <v>144</v>
      </c>
      <c r="D369" t="s">
        <v>215</v>
      </c>
      <c r="E369" t="s">
        <v>201</v>
      </c>
    </row>
    <row r="370" spans="1:5">
      <c r="A370" t="s">
        <v>575</v>
      </c>
      <c r="B370" t="s">
        <v>94</v>
      </c>
      <c r="C370" t="s">
        <v>140</v>
      </c>
      <c r="D370" t="s">
        <v>203</v>
      </c>
      <c r="E370" t="s">
        <v>210</v>
      </c>
    </row>
    <row r="371" spans="1:5">
      <c r="A371" t="s">
        <v>576</v>
      </c>
      <c r="B371" t="s">
        <v>110</v>
      </c>
      <c r="C371" t="s">
        <v>138</v>
      </c>
      <c r="D371" t="s">
        <v>206</v>
      </c>
      <c r="E371" t="s">
        <v>204</v>
      </c>
    </row>
    <row r="372" spans="1:5">
      <c r="A372" t="s">
        <v>577</v>
      </c>
      <c r="B372" t="s">
        <v>13</v>
      </c>
      <c r="C372" t="s">
        <v>134</v>
      </c>
      <c r="D372" t="s">
        <v>203</v>
      </c>
      <c r="E372" t="s">
        <v>207</v>
      </c>
    </row>
    <row r="373" spans="1:5">
      <c r="A373" t="s">
        <v>578</v>
      </c>
      <c r="B373" t="s">
        <v>98</v>
      </c>
      <c r="C373" t="s">
        <v>132</v>
      </c>
      <c r="D373" t="s">
        <v>200</v>
      </c>
      <c r="E373" t="s">
        <v>210</v>
      </c>
    </row>
    <row r="374" spans="1:5">
      <c r="A374" t="s">
        <v>579</v>
      </c>
      <c r="B374" t="s">
        <v>117</v>
      </c>
      <c r="C374" t="s">
        <v>144</v>
      </c>
      <c r="D374" t="s">
        <v>206</v>
      </c>
      <c r="E374" t="s">
        <v>210</v>
      </c>
    </row>
    <row r="375" spans="1:5">
      <c r="A375" t="s">
        <v>580</v>
      </c>
      <c r="B375" t="s">
        <v>115</v>
      </c>
      <c r="C375" t="s">
        <v>144</v>
      </c>
      <c r="D375" t="s">
        <v>206</v>
      </c>
      <c r="E375" t="s">
        <v>204</v>
      </c>
    </row>
    <row r="376" spans="1:5">
      <c r="A376" t="s">
        <v>581</v>
      </c>
      <c r="B376" t="s">
        <v>40</v>
      </c>
      <c r="C376" t="s">
        <v>132</v>
      </c>
      <c r="D376" t="s">
        <v>203</v>
      </c>
      <c r="E376" t="s">
        <v>201</v>
      </c>
    </row>
    <row r="377" spans="1:5">
      <c r="A377" t="s">
        <v>582</v>
      </c>
      <c r="B377" t="s">
        <v>118</v>
      </c>
      <c r="C377" t="s">
        <v>144</v>
      </c>
      <c r="D377" t="s">
        <v>215</v>
      </c>
      <c r="E377" t="s">
        <v>210</v>
      </c>
    </row>
    <row r="378" spans="1:5">
      <c r="A378" t="s">
        <v>583</v>
      </c>
      <c r="B378" t="s">
        <v>112</v>
      </c>
      <c r="C378" t="s">
        <v>140</v>
      </c>
      <c r="D378" t="s">
        <v>215</v>
      </c>
      <c r="E378" t="s">
        <v>210</v>
      </c>
    </row>
    <row r="379" spans="1:5">
      <c r="A379" t="s">
        <v>584</v>
      </c>
      <c r="B379" t="s">
        <v>63</v>
      </c>
      <c r="C379" t="s">
        <v>134</v>
      </c>
      <c r="D379" t="s">
        <v>206</v>
      </c>
      <c r="E379" t="s">
        <v>210</v>
      </c>
    </row>
    <row r="380" spans="1:5">
      <c r="A380" t="s">
        <v>585</v>
      </c>
      <c r="B380" t="s">
        <v>92</v>
      </c>
      <c r="C380" t="s">
        <v>136</v>
      </c>
      <c r="D380" t="s">
        <v>215</v>
      </c>
      <c r="E380" t="s">
        <v>201</v>
      </c>
    </row>
    <row r="381" spans="1:5">
      <c r="A381" t="s">
        <v>586</v>
      </c>
      <c r="B381" t="s">
        <v>40</v>
      </c>
      <c r="C381" t="s">
        <v>136</v>
      </c>
      <c r="D381" t="s">
        <v>203</v>
      </c>
      <c r="E381" t="s">
        <v>204</v>
      </c>
    </row>
    <row r="382" spans="1:5">
      <c r="A382" t="s">
        <v>587</v>
      </c>
      <c r="B382" t="s">
        <v>72</v>
      </c>
      <c r="C382" t="s">
        <v>146</v>
      </c>
      <c r="D382" t="s">
        <v>26</v>
      </c>
      <c r="E382" t="s">
        <v>210</v>
      </c>
    </row>
    <row r="383" spans="1:5">
      <c r="A383" t="s">
        <v>588</v>
      </c>
      <c r="B383" t="s">
        <v>86</v>
      </c>
      <c r="C383" t="s">
        <v>146</v>
      </c>
      <c r="D383" t="s">
        <v>206</v>
      </c>
      <c r="E383" t="s">
        <v>204</v>
      </c>
    </row>
    <row r="384" spans="1:5">
      <c r="A384" t="s">
        <v>589</v>
      </c>
      <c r="B384" t="s">
        <v>27</v>
      </c>
      <c r="C384" t="s">
        <v>138</v>
      </c>
      <c r="D384" t="s">
        <v>203</v>
      </c>
      <c r="E384" t="s">
        <v>207</v>
      </c>
    </row>
    <row r="385" spans="1:5">
      <c r="A385" t="s">
        <v>590</v>
      </c>
      <c r="B385" t="s">
        <v>94</v>
      </c>
      <c r="C385" t="s">
        <v>142</v>
      </c>
      <c r="D385" t="s">
        <v>203</v>
      </c>
      <c r="E385" t="s">
        <v>204</v>
      </c>
    </row>
    <row r="386" spans="1:5">
      <c r="A386" t="s">
        <v>591</v>
      </c>
      <c r="B386" t="s">
        <v>38</v>
      </c>
      <c r="C386" t="s">
        <v>140</v>
      </c>
      <c r="D386" t="s">
        <v>215</v>
      </c>
      <c r="E386" t="s">
        <v>207</v>
      </c>
    </row>
    <row r="387" spans="1:5">
      <c r="A387" t="s">
        <v>592</v>
      </c>
      <c r="B387" t="s">
        <v>86</v>
      </c>
      <c r="C387" t="s">
        <v>146</v>
      </c>
      <c r="D387" t="s">
        <v>200</v>
      </c>
      <c r="E387" t="s">
        <v>201</v>
      </c>
    </row>
    <row r="388" spans="1:5">
      <c r="A388" t="s">
        <v>593</v>
      </c>
      <c r="B388" t="s">
        <v>126</v>
      </c>
      <c r="C388" t="s">
        <v>146</v>
      </c>
      <c r="D388" t="s">
        <v>26</v>
      </c>
      <c r="E388" t="s">
        <v>201</v>
      </c>
    </row>
    <row r="389" spans="1:5">
      <c r="A389" t="s">
        <v>594</v>
      </c>
      <c r="B389" t="s">
        <v>125</v>
      </c>
      <c r="C389" t="s">
        <v>134</v>
      </c>
      <c r="D389" t="s">
        <v>203</v>
      </c>
      <c r="E389" t="s">
        <v>204</v>
      </c>
    </row>
    <row r="390" spans="1:5">
      <c r="A390" t="s">
        <v>595</v>
      </c>
      <c r="B390" t="s">
        <v>36</v>
      </c>
      <c r="C390" t="s">
        <v>146</v>
      </c>
      <c r="D390" t="s">
        <v>206</v>
      </c>
      <c r="E390" t="s">
        <v>210</v>
      </c>
    </row>
    <row r="391" spans="1:5">
      <c r="A391" t="s">
        <v>596</v>
      </c>
      <c r="B391" t="s">
        <v>44</v>
      </c>
      <c r="C391" t="s">
        <v>134</v>
      </c>
      <c r="D391" t="s">
        <v>200</v>
      </c>
      <c r="E391" t="s">
        <v>201</v>
      </c>
    </row>
    <row r="392" spans="1:5">
      <c r="A392" t="s">
        <v>597</v>
      </c>
      <c r="B392" t="s">
        <v>70</v>
      </c>
      <c r="C392" t="s">
        <v>146</v>
      </c>
      <c r="D392" t="s">
        <v>200</v>
      </c>
      <c r="E392" t="s">
        <v>204</v>
      </c>
    </row>
    <row r="393" spans="1:5">
      <c r="A393" t="s">
        <v>598</v>
      </c>
      <c r="B393" t="s">
        <v>57</v>
      </c>
      <c r="C393" t="s">
        <v>136</v>
      </c>
      <c r="D393" t="s">
        <v>26</v>
      </c>
      <c r="E393" t="s">
        <v>210</v>
      </c>
    </row>
    <row r="394" spans="1:5">
      <c r="A394" t="s">
        <v>599</v>
      </c>
      <c r="B394" t="s">
        <v>38</v>
      </c>
      <c r="C394" t="s">
        <v>138</v>
      </c>
      <c r="D394" t="s">
        <v>26</v>
      </c>
      <c r="E394" t="s">
        <v>204</v>
      </c>
    </row>
    <row r="395" spans="1:5">
      <c r="A395" t="s">
        <v>600</v>
      </c>
      <c r="B395" t="s">
        <v>91</v>
      </c>
      <c r="C395" t="s">
        <v>134</v>
      </c>
      <c r="D395" t="s">
        <v>26</v>
      </c>
      <c r="E395" t="s">
        <v>201</v>
      </c>
    </row>
    <row r="396" spans="1:5">
      <c r="A396" t="s">
        <v>601</v>
      </c>
      <c r="B396" t="s">
        <v>44</v>
      </c>
      <c r="C396" t="s">
        <v>148</v>
      </c>
      <c r="D396" t="s">
        <v>26</v>
      </c>
      <c r="E396" t="s">
        <v>210</v>
      </c>
    </row>
    <row r="397" spans="1:5">
      <c r="A397" t="s">
        <v>602</v>
      </c>
      <c r="B397" t="s">
        <v>99</v>
      </c>
      <c r="C397" t="s">
        <v>130</v>
      </c>
      <c r="D397" t="s">
        <v>215</v>
      </c>
      <c r="E397" t="s">
        <v>204</v>
      </c>
    </row>
    <row r="398" spans="1:5">
      <c r="A398" t="s">
        <v>603</v>
      </c>
      <c r="B398" t="s">
        <v>19</v>
      </c>
      <c r="C398" t="s">
        <v>148</v>
      </c>
      <c r="D398" t="s">
        <v>200</v>
      </c>
      <c r="E398" t="s">
        <v>201</v>
      </c>
    </row>
    <row r="399" spans="1:5">
      <c r="A399" t="s">
        <v>604</v>
      </c>
      <c r="B399" t="s">
        <v>125</v>
      </c>
      <c r="C399" t="s">
        <v>148</v>
      </c>
      <c r="D399" t="s">
        <v>203</v>
      </c>
      <c r="E399" t="s">
        <v>204</v>
      </c>
    </row>
    <row r="400" spans="1:5">
      <c r="A400" t="s">
        <v>605</v>
      </c>
      <c r="B400" t="s">
        <v>90</v>
      </c>
      <c r="C400" t="s">
        <v>146</v>
      </c>
      <c r="D400" t="s">
        <v>200</v>
      </c>
      <c r="E400" t="s">
        <v>210</v>
      </c>
    </row>
    <row r="401" spans="1:5">
      <c r="A401" t="s">
        <v>606</v>
      </c>
      <c r="B401" t="s">
        <v>88</v>
      </c>
      <c r="C401" t="s">
        <v>136</v>
      </c>
      <c r="D401" t="s">
        <v>203</v>
      </c>
      <c r="E401" t="s">
        <v>210</v>
      </c>
    </row>
    <row r="402" spans="1:5">
      <c r="A402" t="s">
        <v>607</v>
      </c>
      <c r="B402" t="s">
        <v>85</v>
      </c>
      <c r="C402" t="s">
        <v>132</v>
      </c>
      <c r="D402" t="s">
        <v>215</v>
      </c>
      <c r="E402" t="s">
        <v>201</v>
      </c>
    </row>
    <row r="403" spans="1:5">
      <c r="A403" t="s">
        <v>608</v>
      </c>
      <c r="B403" t="s">
        <v>83</v>
      </c>
      <c r="C403" t="s">
        <v>142</v>
      </c>
      <c r="D403" t="s">
        <v>203</v>
      </c>
      <c r="E403" t="s">
        <v>207</v>
      </c>
    </row>
    <row r="404" spans="1:5">
      <c r="A404" t="s">
        <v>609</v>
      </c>
      <c r="B404" t="s">
        <v>51</v>
      </c>
      <c r="C404" t="s">
        <v>140</v>
      </c>
      <c r="D404" t="s">
        <v>26</v>
      </c>
      <c r="E404" t="s">
        <v>201</v>
      </c>
    </row>
    <row r="405" spans="1:5">
      <c r="A405" t="s">
        <v>610</v>
      </c>
      <c r="B405" t="s">
        <v>65</v>
      </c>
      <c r="C405" t="s">
        <v>140</v>
      </c>
      <c r="D405" t="s">
        <v>200</v>
      </c>
      <c r="E405" t="s">
        <v>207</v>
      </c>
    </row>
    <row r="406" spans="1:5">
      <c r="A406" t="s">
        <v>611</v>
      </c>
      <c r="B406" t="s">
        <v>38</v>
      </c>
      <c r="C406" t="s">
        <v>140</v>
      </c>
      <c r="D406" t="s">
        <v>26</v>
      </c>
      <c r="E406" t="s">
        <v>204</v>
      </c>
    </row>
    <row r="407" spans="1:5">
      <c r="A407" t="s">
        <v>612</v>
      </c>
      <c r="B407" t="s">
        <v>65</v>
      </c>
      <c r="C407" t="s">
        <v>136</v>
      </c>
      <c r="D407" t="s">
        <v>203</v>
      </c>
      <c r="E407" t="s">
        <v>204</v>
      </c>
    </row>
    <row r="408" spans="1:5">
      <c r="A408" t="s">
        <v>613</v>
      </c>
      <c r="B408" t="s">
        <v>59</v>
      </c>
      <c r="C408" t="s">
        <v>144</v>
      </c>
      <c r="D408" t="s">
        <v>206</v>
      </c>
      <c r="E408" t="s">
        <v>201</v>
      </c>
    </row>
    <row r="409" spans="1:5">
      <c r="A409" t="s">
        <v>614</v>
      </c>
      <c r="B409" t="s">
        <v>33</v>
      </c>
      <c r="C409" t="s">
        <v>130</v>
      </c>
      <c r="D409" t="s">
        <v>200</v>
      </c>
      <c r="E409" t="s">
        <v>207</v>
      </c>
    </row>
    <row r="410" spans="1:5">
      <c r="A410" t="s">
        <v>615</v>
      </c>
      <c r="B410" t="s">
        <v>105</v>
      </c>
      <c r="C410" t="s">
        <v>142</v>
      </c>
      <c r="D410" t="s">
        <v>206</v>
      </c>
      <c r="E410" t="s">
        <v>201</v>
      </c>
    </row>
    <row r="411" spans="1:5">
      <c r="A411" t="s">
        <v>616</v>
      </c>
      <c r="B411" t="s">
        <v>66</v>
      </c>
      <c r="C411" t="s">
        <v>148</v>
      </c>
      <c r="D411" t="s">
        <v>200</v>
      </c>
      <c r="E411" t="s">
        <v>201</v>
      </c>
    </row>
    <row r="412" spans="1:5">
      <c r="A412" t="s">
        <v>617</v>
      </c>
      <c r="B412" t="s">
        <v>124</v>
      </c>
      <c r="C412" t="s">
        <v>134</v>
      </c>
      <c r="D412" t="s">
        <v>203</v>
      </c>
      <c r="E412" t="s">
        <v>207</v>
      </c>
    </row>
    <row r="413" spans="1:5">
      <c r="A413" t="s">
        <v>618</v>
      </c>
      <c r="B413" t="s">
        <v>90</v>
      </c>
      <c r="C413" t="s">
        <v>138</v>
      </c>
      <c r="D413" t="s">
        <v>203</v>
      </c>
      <c r="E413" t="s">
        <v>204</v>
      </c>
    </row>
    <row r="414" spans="1:5">
      <c r="A414" t="s">
        <v>619</v>
      </c>
      <c r="B414" t="s">
        <v>32</v>
      </c>
      <c r="C414" t="s">
        <v>142</v>
      </c>
      <c r="D414" t="s">
        <v>26</v>
      </c>
      <c r="E414" t="s">
        <v>207</v>
      </c>
    </row>
    <row r="415" spans="1:5">
      <c r="A415" t="s">
        <v>620</v>
      </c>
      <c r="B415" t="s">
        <v>55</v>
      </c>
      <c r="C415" t="s">
        <v>136</v>
      </c>
      <c r="D415" t="s">
        <v>26</v>
      </c>
      <c r="E415" t="s">
        <v>210</v>
      </c>
    </row>
    <row r="416" spans="1:5">
      <c r="A416" t="s">
        <v>621</v>
      </c>
      <c r="B416" t="s">
        <v>21</v>
      </c>
      <c r="C416" t="s">
        <v>130</v>
      </c>
      <c r="D416" t="s">
        <v>200</v>
      </c>
      <c r="E416" t="s">
        <v>207</v>
      </c>
    </row>
    <row r="417" spans="1:5">
      <c r="A417" t="s">
        <v>622</v>
      </c>
      <c r="B417" t="s">
        <v>103</v>
      </c>
      <c r="C417" t="s">
        <v>144</v>
      </c>
      <c r="D417" t="s">
        <v>200</v>
      </c>
      <c r="E417" t="s">
        <v>204</v>
      </c>
    </row>
    <row r="418" spans="1:5">
      <c r="A418" t="s">
        <v>623</v>
      </c>
      <c r="B418" t="s">
        <v>34</v>
      </c>
      <c r="C418" t="s">
        <v>142</v>
      </c>
      <c r="D418" t="s">
        <v>206</v>
      </c>
      <c r="E418" t="s">
        <v>210</v>
      </c>
    </row>
    <row r="419" spans="1:5">
      <c r="A419" t="s">
        <v>624</v>
      </c>
      <c r="B419" t="s">
        <v>120</v>
      </c>
      <c r="C419" t="s">
        <v>140</v>
      </c>
      <c r="D419" t="s">
        <v>203</v>
      </c>
      <c r="E419" t="s">
        <v>210</v>
      </c>
    </row>
    <row r="420" spans="1:5">
      <c r="A420" t="s">
        <v>625</v>
      </c>
      <c r="B420" t="s">
        <v>19</v>
      </c>
      <c r="C420" t="s">
        <v>142</v>
      </c>
      <c r="D420" t="s">
        <v>215</v>
      </c>
      <c r="E420" t="s">
        <v>201</v>
      </c>
    </row>
    <row r="421" spans="1:5">
      <c r="A421" t="s">
        <v>626</v>
      </c>
      <c r="B421" t="s">
        <v>72</v>
      </c>
      <c r="C421" t="s">
        <v>146</v>
      </c>
      <c r="D421" t="s">
        <v>200</v>
      </c>
      <c r="E421" t="s">
        <v>204</v>
      </c>
    </row>
    <row r="422" spans="1:5">
      <c r="A422" t="s">
        <v>627</v>
      </c>
      <c r="B422" t="s">
        <v>76</v>
      </c>
      <c r="C422" t="s">
        <v>146</v>
      </c>
      <c r="D422" t="s">
        <v>203</v>
      </c>
      <c r="E422" t="s">
        <v>210</v>
      </c>
    </row>
    <row r="423" spans="1:5">
      <c r="A423" t="s">
        <v>628</v>
      </c>
      <c r="B423" t="s">
        <v>106</v>
      </c>
      <c r="C423" t="s">
        <v>148</v>
      </c>
      <c r="D423" t="s">
        <v>215</v>
      </c>
      <c r="E423" t="s">
        <v>201</v>
      </c>
    </row>
    <row r="424" spans="1:5">
      <c r="A424" t="s">
        <v>629</v>
      </c>
      <c r="B424" t="s">
        <v>33</v>
      </c>
      <c r="C424" t="s">
        <v>142</v>
      </c>
      <c r="D424" t="s">
        <v>200</v>
      </c>
      <c r="E424" t="s">
        <v>210</v>
      </c>
    </row>
    <row r="425" spans="1:5">
      <c r="A425" t="s">
        <v>630</v>
      </c>
      <c r="B425" t="s">
        <v>98</v>
      </c>
      <c r="C425" t="s">
        <v>140</v>
      </c>
      <c r="D425" t="s">
        <v>206</v>
      </c>
      <c r="E425" t="s">
        <v>201</v>
      </c>
    </row>
    <row r="426" spans="1:5">
      <c r="A426" t="s">
        <v>631</v>
      </c>
      <c r="B426" t="s">
        <v>104</v>
      </c>
      <c r="C426" t="s">
        <v>146</v>
      </c>
      <c r="D426" t="s">
        <v>203</v>
      </c>
      <c r="E426" t="s">
        <v>204</v>
      </c>
    </row>
    <row r="427" spans="1:5">
      <c r="A427" t="s">
        <v>632</v>
      </c>
      <c r="B427" t="s">
        <v>19</v>
      </c>
      <c r="C427" t="s">
        <v>130</v>
      </c>
      <c r="D427" t="s">
        <v>206</v>
      </c>
      <c r="E427" t="s">
        <v>210</v>
      </c>
    </row>
    <row r="428" spans="1:5">
      <c r="A428" t="s">
        <v>633</v>
      </c>
      <c r="B428" t="s">
        <v>87</v>
      </c>
      <c r="C428" t="s">
        <v>146</v>
      </c>
      <c r="D428" t="s">
        <v>203</v>
      </c>
      <c r="E428" t="s">
        <v>201</v>
      </c>
    </row>
    <row r="429" spans="1:5">
      <c r="A429" t="s">
        <v>634</v>
      </c>
      <c r="B429" t="s">
        <v>104</v>
      </c>
      <c r="C429" t="s">
        <v>146</v>
      </c>
      <c r="D429" t="s">
        <v>206</v>
      </c>
      <c r="E429" t="s">
        <v>210</v>
      </c>
    </row>
    <row r="430" spans="1:5">
      <c r="A430" t="s">
        <v>635</v>
      </c>
      <c r="B430" t="s">
        <v>105</v>
      </c>
      <c r="C430" t="s">
        <v>140</v>
      </c>
      <c r="D430" t="s">
        <v>206</v>
      </c>
      <c r="E430" t="s">
        <v>207</v>
      </c>
    </row>
    <row r="431" spans="1:5">
      <c r="A431" t="s">
        <v>636</v>
      </c>
      <c r="B431" t="s">
        <v>105</v>
      </c>
      <c r="C431" t="s">
        <v>138</v>
      </c>
      <c r="D431" t="s">
        <v>26</v>
      </c>
      <c r="E431" t="s">
        <v>210</v>
      </c>
    </row>
    <row r="432" spans="1:5">
      <c r="A432" t="s">
        <v>637</v>
      </c>
      <c r="B432" t="s">
        <v>91</v>
      </c>
      <c r="C432" t="s">
        <v>146</v>
      </c>
      <c r="D432" t="s">
        <v>26</v>
      </c>
      <c r="E432" t="s">
        <v>207</v>
      </c>
    </row>
    <row r="433" spans="1:5">
      <c r="A433" t="s">
        <v>638</v>
      </c>
      <c r="B433" t="s">
        <v>117</v>
      </c>
      <c r="C433" t="s">
        <v>148</v>
      </c>
      <c r="D433" t="s">
        <v>200</v>
      </c>
      <c r="E433" t="s">
        <v>207</v>
      </c>
    </row>
    <row r="434" spans="1:5">
      <c r="A434" t="s">
        <v>639</v>
      </c>
      <c r="B434" t="s">
        <v>12</v>
      </c>
      <c r="C434" t="s">
        <v>140</v>
      </c>
      <c r="D434" t="s">
        <v>200</v>
      </c>
      <c r="E434" t="s">
        <v>204</v>
      </c>
    </row>
    <row r="435" spans="1:5">
      <c r="A435" t="s">
        <v>640</v>
      </c>
      <c r="B435" t="s">
        <v>80</v>
      </c>
      <c r="C435" t="s">
        <v>148</v>
      </c>
      <c r="D435" t="s">
        <v>200</v>
      </c>
      <c r="E435" t="s">
        <v>204</v>
      </c>
    </row>
    <row r="436" spans="1:5">
      <c r="A436" t="s">
        <v>641</v>
      </c>
      <c r="B436" t="s">
        <v>103</v>
      </c>
      <c r="C436" t="s">
        <v>144</v>
      </c>
      <c r="D436" t="s">
        <v>200</v>
      </c>
      <c r="E436" t="s">
        <v>201</v>
      </c>
    </row>
    <row r="437" spans="1:5">
      <c r="A437" t="s">
        <v>642</v>
      </c>
      <c r="B437" t="s">
        <v>119</v>
      </c>
      <c r="C437" t="s">
        <v>130</v>
      </c>
      <c r="D437" t="s">
        <v>26</v>
      </c>
      <c r="E437" t="s">
        <v>207</v>
      </c>
    </row>
    <row r="438" spans="1:5">
      <c r="A438" t="s">
        <v>643</v>
      </c>
      <c r="B438" t="s">
        <v>44</v>
      </c>
      <c r="C438" t="s">
        <v>146</v>
      </c>
      <c r="D438" t="s">
        <v>26</v>
      </c>
      <c r="E438" t="s">
        <v>207</v>
      </c>
    </row>
    <row r="439" spans="1:5">
      <c r="A439" t="s">
        <v>644</v>
      </c>
      <c r="B439" t="s">
        <v>41</v>
      </c>
      <c r="C439" t="s">
        <v>136</v>
      </c>
      <c r="D439" t="s">
        <v>215</v>
      </c>
      <c r="E439" t="s">
        <v>204</v>
      </c>
    </row>
    <row r="440" spans="1:5">
      <c r="A440" t="s">
        <v>645</v>
      </c>
      <c r="B440" t="s">
        <v>48</v>
      </c>
      <c r="C440" t="s">
        <v>130</v>
      </c>
      <c r="D440" t="s">
        <v>203</v>
      </c>
      <c r="E440" t="s">
        <v>210</v>
      </c>
    </row>
    <row r="441" spans="1:5">
      <c r="A441" t="s">
        <v>646</v>
      </c>
      <c r="B441" t="s">
        <v>80</v>
      </c>
      <c r="C441" t="s">
        <v>134</v>
      </c>
      <c r="D441" t="s">
        <v>203</v>
      </c>
      <c r="E441" t="s">
        <v>201</v>
      </c>
    </row>
    <row r="442" spans="1:5">
      <c r="A442" t="s">
        <v>647</v>
      </c>
      <c r="B442" t="s">
        <v>79</v>
      </c>
      <c r="C442" t="s">
        <v>146</v>
      </c>
      <c r="D442" t="s">
        <v>26</v>
      </c>
      <c r="E442" t="s">
        <v>207</v>
      </c>
    </row>
    <row r="443" spans="1:5">
      <c r="A443" t="s">
        <v>648</v>
      </c>
      <c r="B443" t="s">
        <v>121</v>
      </c>
      <c r="C443" t="s">
        <v>130</v>
      </c>
      <c r="D443" t="s">
        <v>206</v>
      </c>
      <c r="E443" t="s">
        <v>201</v>
      </c>
    </row>
    <row r="444" spans="1:5">
      <c r="A444" t="s">
        <v>649</v>
      </c>
      <c r="B444" t="s">
        <v>98</v>
      </c>
      <c r="C444" t="s">
        <v>140</v>
      </c>
      <c r="D444" t="s">
        <v>203</v>
      </c>
      <c r="E444" t="s">
        <v>207</v>
      </c>
    </row>
    <row r="445" spans="1:5">
      <c r="A445" t="s">
        <v>650</v>
      </c>
      <c r="B445" t="s">
        <v>65</v>
      </c>
      <c r="C445" t="s">
        <v>134</v>
      </c>
      <c r="D445" t="s">
        <v>203</v>
      </c>
      <c r="E445" t="s">
        <v>210</v>
      </c>
    </row>
    <row r="446" spans="1:5">
      <c r="A446" t="s">
        <v>651</v>
      </c>
      <c r="B446" t="s">
        <v>96</v>
      </c>
      <c r="C446" t="s">
        <v>140</v>
      </c>
      <c r="D446" t="s">
        <v>200</v>
      </c>
      <c r="E446" t="s">
        <v>207</v>
      </c>
    </row>
    <row r="447" spans="1:5">
      <c r="A447" t="s">
        <v>652</v>
      </c>
      <c r="B447" t="s">
        <v>48</v>
      </c>
      <c r="C447" t="s">
        <v>136</v>
      </c>
      <c r="D447" t="s">
        <v>200</v>
      </c>
      <c r="E447" t="s">
        <v>210</v>
      </c>
    </row>
    <row r="448" spans="1:5">
      <c r="A448" t="s">
        <v>653</v>
      </c>
      <c r="B448" t="s">
        <v>53</v>
      </c>
      <c r="C448" t="s">
        <v>138</v>
      </c>
      <c r="D448" t="s">
        <v>200</v>
      </c>
      <c r="E448" t="s">
        <v>201</v>
      </c>
    </row>
    <row r="449" spans="1:5">
      <c r="A449" t="s">
        <v>654</v>
      </c>
      <c r="B449" t="s">
        <v>115</v>
      </c>
      <c r="C449" t="s">
        <v>144</v>
      </c>
      <c r="D449" t="s">
        <v>200</v>
      </c>
      <c r="E449" t="s">
        <v>207</v>
      </c>
    </row>
    <row r="450" spans="1:5">
      <c r="A450" t="s">
        <v>655</v>
      </c>
      <c r="B450" t="s">
        <v>70</v>
      </c>
      <c r="C450" t="s">
        <v>146</v>
      </c>
      <c r="D450" t="s">
        <v>200</v>
      </c>
      <c r="E450" t="s">
        <v>210</v>
      </c>
    </row>
    <row r="451" spans="1:5">
      <c r="A451" t="s">
        <v>656</v>
      </c>
      <c r="B451" t="s">
        <v>36</v>
      </c>
      <c r="C451" t="s">
        <v>148</v>
      </c>
      <c r="D451" t="s">
        <v>26</v>
      </c>
      <c r="E451" t="s">
        <v>207</v>
      </c>
    </row>
    <row r="452" spans="1:5">
      <c r="A452" t="s">
        <v>657</v>
      </c>
      <c r="B452" t="s">
        <v>77</v>
      </c>
      <c r="C452" t="s">
        <v>140</v>
      </c>
      <c r="D452" t="s">
        <v>206</v>
      </c>
      <c r="E452" t="s">
        <v>210</v>
      </c>
    </row>
    <row r="453" spans="1:5">
      <c r="A453" t="s">
        <v>658</v>
      </c>
      <c r="B453" t="s">
        <v>19</v>
      </c>
      <c r="C453" t="s">
        <v>138</v>
      </c>
      <c r="D453" t="s">
        <v>215</v>
      </c>
      <c r="E453" t="s">
        <v>210</v>
      </c>
    </row>
    <row r="454" spans="1:5">
      <c r="A454" t="s">
        <v>659</v>
      </c>
      <c r="B454" t="s">
        <v>83</v>
      </c>
      <c r="C454" t="s">
        <v>138</v>
      </c>
      <c r="D454" t="s">
        <v>203</v>
      </c>
      <c r="E454" t="s">
        <v>201</v>
      </c>
    </row>
    <row r="455" spans="1:5">
      <c r="A455" t="s">
        <v>660</v>
      </c>
      <c r="B455" t="s">
        <v>49</v>
      </c>
      <c r="C455" t="s">
        <v>146</v>
      </c>
      <c r="D455" t="s">
        <v>200</v>
      </c>
      <c r="E455" t="s">
        <v>210</v>
      </c>
    </row>
    <row r="456" spans="1:5">
      <c r="A456" t="s">
        <v>661</v>
      </c>
      <c r="B456" t="s">
        <v>40</v>
      </c>
      <c r="C456" t="s">
        <v>132</v>
      </c>
      <c r="D456" t="s">
        <v>26</v>
      </c>
      <c r="E456" t="s">
        <v>201</v>
      </c>
    </row>
    <row r="457" spans="1:5">
      <c r="A457" t="s">
        <v>662</v>
      </c>
      <c r="B457" t="s">
        <v>56</v>
      </c>
      <c r="C457" t="s">
        <v>130</v>
      </c>
      <c r="D457" t="s">
        <v>26</v>
      </c>
      <c r="E457" t="s">
        <v>201</v>
      </c>
    </row>
    <row r="458" spans="1:5">
      <c r="A458" t="s">
        <v>663</v>
      </c>
      <c r="B458" t="s">
        <v>108</v>
      </c>
      <c r="C458" t="s">
        <v>136</v>
      </c>
      <c r="D458" t="s">
        <v>215</v>
      </c>
      <c r="E458" t="s">
        <v>204</v>
      </c>
    </row>
    <row r="459" spans="1:5">
      <c r="A459" t="s">
        <v>664</v>
      </c>
      <c r="B459" t="s">
        <v>79</v>
      </c>
      <c r="C459" t="s">
        <v>140</v>
      </c>
      <c r="D459" t="s">
        <v>203</v>
      </c>
      <c r="E459" t="s">
        <v>204</v>
      </c>
    </row>
    <row r="460" spans="1:5">
      <c r="A460" t="s">
        <v>665</v>
      </c>
      <c r="B460" t="s">
        <v>114</v>
      </c>
      <c r="C460" t="s">
        <v>134</v>
      </c>
      <c r="D460" t="s">
        <v>215</v>
      </c>
      <c r="E460" t="s">
        <v>201</v>
      </c>
    </row>
    <row r="461" spans="1:5">
      <c r="A461" t="s">
        <v>666</v>
      </c>
      <c r="B461" t="s">
        <v>79</v>
      </c>
      <c r="C461" t="s">
        <v>144</v>
      </c>
      <c r="D461" t="s">
        <v>203</v>
      </c>
      <c r="E461" t="s">
        <v>201</v>
      </c>
    </row>
    <row r="462" spans="1:5">
      <c r="A462" t="s">
        <v>667</v>
      </c>
      <c r="B462" t="s">
        <v>123</v>
      </c>
      <c r="C462" t="s">
        <v>138</v>
      </c>
      <c r="D462" t="s">
        <v>200</v>
      </c>
      <c r="E462" t="s">
        <v>210</v>
      </c>
    </row>
    <row r="463" spans="1:5">
      <c r="A463" t="s">
        <v>668</v>
      </c>
      <c r="B463" t="s">
        <v>109</v>
      </c>
      <c r="C463" t="s">
        <v>130</v>
      </c>
      <c r="D463" t="s">
        <v>215</v>
      </c>
      <c r="E463" t="s">
        <v>201</v>
      </c>
    </row>
    <row r="464" spans="1:5">
      <c r="A464" t="s">
        <v>669</v>
      </c>
      <c r="B464" t="s">
        <v>95</v>
      </c>
      <c r="C464" t="s">
        <v>130</v>
      </c>
      <c r="D464" t="s">
        <v>206</v>
      </c>
      <c r="E464" t="s">
        <v>207</v>
      </c>
    </row>
    <row r="465" spans="1:5">
      <c r="A465" t="s">
        <v>670</v>
      </c>
      <c r="B465" t="s">
        <v>45</v>
      </c>
      <c r="C465" t="s">
        <v>130</v>
      </c>
      <c r="D465" t="s">
        <v>203</v>
      </c>
      <c r="E465" t="s">
        <v>207</v>
      </c>
    </row>
    <row r="466" spans="1:5">
      <c r="A466" t="s">
        <v>671</v>
      </c>
      <c r="B466" t="s">
        <v>46</v>
      </c>
      <c r="C466" t="s">
        <v>138</v>
      </c>
      <c r="D466" t="s">
        <v>215</v>
      </c>
      <c r="E466" t="s">
        <v>204</v>
      </c>
    </row>
    <row r="467" spans="1:5">
      <c r="A467" t="s">
        <v>672</v>
      </c>
      <c r="B467" t="s">
        <v>63</v>
      </c>
      <c r="C467" t="s">
        <v>148</v>
      </c>
      <c r="D467" t="s">
        <v>26</v>
      </c>
      <c r="E467" t="s">
        <v>204</v>
      </c>
    </row>
    <row r="468" spans="1:5">
      <c r="A468" t="s">
        <v>673</v>
      </c>
      <c r="B468" t="s">
        <v>68</v>
      </c>
      <c r="C468" t="s">
        <v>138</v>
      </c>
      <c r="D468" t="s">
        <v>203</v>
      </c>
      <c r="E468" t="s">
        <v>207</v>
      </c>
    </row>
    <row r="469" spans="1:5">
      <c r="A469" t="s">
        <v>674</v>
      </c>
      <c r="B469" t="s">
        <v>40</v>
      </c>
      <c r="C469" t="s">
        <v>146</v>
      </c>
      <c r="D469" t="s">
        <v>203</v>
      </c>
      <c r="E469" t="s">
        <v>210</v>
      </c>
    </row>
    <row r="470" spans="1:5">
      <c r="A470" t="s">
        <v>675</v>
      </c>
      <c r="B470" t="s">
        <v>48</v>
      </c>
      <c r="C470" t="s">
        <v>132</v>
      </c>
      <c r="D470" t="s">
        <v>200</v>
      </c>
      <c r="E470" t="s">
        <v>201</v>
      </c>
    </row>
    <row r="471" spans="1:5">
      <c r="A471" t="s">
        <v>676</v>
      </c>
      <c r="B471" t="s">
        <v>120</v>
      </c>
      <c r="C471" t="s">
        <v>144</v>
      </c>
      <c r="D471" t="s">
        <v>200</v>
      </c>
      <c r="E471" t="s">
        <v>201</v>
      </c>
    </row>
    <row r="472" spans="1:5">
      <c r="A472" t="s">
        <v>677</v>
      </c>
      <c r="B472" t="s">
        <v>9</v>
      </c>
      <c r="C472" t="s">
        <v>140</v>
      </c>
      <c r="D472" t="s">
        <v>200</v>
      </c>
      <c r="E472" t="s">
        <v>201</v>
      </c>
    </row>
    <row r="473" spans="1:5">
      <c r="A473" t="s">
        <v>678</v>
      </c>
      <c r="B473" t="s">
        <v>45</v>
      </c>
      <c r="C473" t="s">
        <v>148</v>
      </c>
      <c r="D473" t="s">
        <v>203</v>
      </c>
      <c r="E473" t="s">
        <v>207</v>
      </c>
    </row>
    <row r="474" spans="1:5">
      <c r="A474" t="s">
        <v>679</v>
      </c>
      <c r="B474" t="s">
        <v>92</v>
      </c>
      <c r="C474" t="s">
        <v>140</v>
      </c>
      <c r="D474" t="s">
        <v>215</v>
      </c>
      <c r="E474" t="s">
        <v>207</v>
      </c>
    </row>
    <row r="475" spans="1:5">
      <c r="A475" t="s">
        <v>680</v>
      </c>
      <c r="B475" t="s">
        <v>112</v>
      </c>
      <c r="C475" t="s">
        <v>132</v>
      </c>
      <c r="D475" t="s">
        <v>206</v>
      </c>
      <c r="E475" t="s">
        <v>201</v>
      </c>
    </row>
    <row r="476" spans="1:5">
      <c r="A476" t="s">
        <v>681</v>
      </c>
      <c r="B476" t="s">
        <v>88</v>
      </c>
      <c r="C476" t="s">
        <v>140</v>
      </c>
      <c r="D476" t="s">
        <v>206</v>
      </c>
      <c r="E476" t="s">
        <v>204</v>
      </c>
    </row>
    <row r="477" spans="1:5">
      <c r="A477" t="s">
        <v>682</v>
      </c>
      <c r="B477" t="s">
        <v>58</v>
      </c>
      <c r="C477" t="s">
        <v>142</v>
      </c>
      <c r="D477" t="s">
        <v>206</v>
      </c>
      <c r="E477" t="s">
        <v>207</v>
      </c>
    </row>
    <row r="478" spans="1:5">
      <c r="A478" t="s">
        <v>683</v>
      </c>
      <c r="B478" t="s">
        <v>123</v>
      </c>
      <c r="C478" t="s">
        <v>138</v>
      </c>
      <c r="D478" t="s">
        <v>200</v>
      </c>
      <c r="E478" t="s">
        <v>210</v>
      </c>
    </row>
    <row r="479" spans="1:5">
      <c r="A479" t="s">
        <v>684</v>
      </c>
      <c r="B479" t="s">
        <v>101</v>
      </c>
      <c r="C479" t="s">
        <v>148</v>
      </c>
      <c r="D479" t="s">
        <v>215</v>
      </c>
      <c r="E479" t="s">
        <v>210</v>
      </c>
    </row>
    <row r="480" spans="1:5">
      <c r="A480" t="s">
        <v>685</v>
      </c>
      <c r="B480" t="s">
        <v>110</v>
      </c>
      <c r="C480" t="s">
        <v>140</v>
      </c>
      <c r="D480" t="s">
        <v>206</v>
      </c>
      <c r="E480" t="s">
        <v>204</v>
      </c>
    </row>
    <row r="481" spans="1:5">
      <c r="A481" t="s">
        <v>686</v>
      </c>
      <c r="B481" t="s">
        <v>112</v>
      </c>
      <c r="C481" t="s">
        <v>132</v>
      </c>
      <c r="D481" t="s">
        <v>203</v>
      </c>
      <c r="E481" t="s">
        <v>210</v>
      </c>
    </row>
    <row r="482" spans="1:5">
      <c r="A482" t="s">
        <v>687</v>
      </c>
      <c r="B482" t="s">
        <v>43</v>
      </c>
      <c r="C482" t="s">
        <v>142</v>
      </c>
      <c r="D482" t="s">
        <v>26</v>
      </c>
      <c r="E482" t="s">
        <v>210</v>
      </c>
    </row>
    <row r="483" spans="1:5">
      <c r="A483" t="s">
        <v>688</v>
      </c>
      <c r="B483" t="s">
        <v>115</v>
      </c>
      <c r="C483" t="s">
        <v>132</v>
      </c>
      <c r="D483" t="s">
        <v>200</v>
      </c>
      <c r="E483" t="s">
        <v>210</v>
      </c>
    </row>
    <row r="484" spans="1:5">
      <c r="A484" t="s">
        <v>689</v>
      </c>
      <c r="B484" t="s">
        <v>105</v>
      </c>
      <c r="C484" t="s">
        <v>136</v>
      </c>
      <c r="D484" t="s">
        <v>206</v>
      </c>
      <c r="E484" t="s">
        <v>201</v>
      </c>
    </row>
    <row r="485" spans="1:5">
      <c r="A485" t="s">
        <v>690</v>
      </c>
      <c r="B485" t="s">
        <v>88</v>
      </c>
      <c r="C485" t="s">
        <v>134</v>
      </c>
      <c r="D485" t="s">
        <v>203</v>
      </c>
      <c r="E485" t="s">
        <v>210</v>
      </c>
    </row>
    <row r="486" spans="1:5">
      <c r="A486" t="s">
        <v>691</v>
      </c>
      <c r="B486" t="s">
        <v>80</v>
      </c>
      <c r="C486" t="s">
        <v>146</v>
      </c>
      <c r="D486" t="s">
        <v>203</v>
      </c>
      <c r="E486" t="s">
        <v>201</v>
      </c>
    </row>
    <row r="487" spans="1:5">
      <c r="A487" t="s">
        <v>692</v>
      </c>
      <c r="B487" t="s">
        <v>124</v>
      </c>
      <c r="C487" t="s">
        <v>136</v>
      </c>
      <c r="D487" t="s">
        <v>26</v>
      </c>
      <c r="E487" t="s">
        <v>204</v>
      </c>
    </row>
    <row r="488" spans="1:5">
      <c r="A488" t="s">
        <v>693</v>
      </c>
      <c r="B488" t="s">
        <v>94</v>
      </c>
      <c r="C488" t="s">
        <v>144</v>
      </c>
      <c r="D488" t="s">
        <v>26</v>
      </c>
      <c r="E488" t="s">
        <v>210</v>
      </c>
    </row>
    <row r="489" spans="1:5">
      <c r="A489" t="s">
        <v>694</v>
      </c>
      <c r="B489" t="s">
        <v>29</v>
      </c>
      <c r="C489" t="s">
        <v>148</v>
      </c>
      <c r="D489" t="s">
        <v>215</v>
      </c>
      <c r="E489" t="s">
        <v>204</v>
      </c>
    </row>
    <row r="490" spans="1:5">
      <c r="A490" t="s">
        <v>695</v>
      </c>
      <c r="B490" t="s">
        <v>97</v>
      </c>
      <c r="C490" t="s">
        <v>146</v>
      </c>
      <c r="D490" t="s">
        <v>206</v>
      </c>
      <c r="E490" t="s">
        <v>201</v>
      </c>
    </row>
    <row r="491" spans="1:5">
      <c r="A491" t="s">
        <v>696</v>
      </c>
      <c r="B491" t="s">
        <v>44</v>
      </c>
      <c r="C491" t="s">
        <v>140</v>
      </c>
      <c r="D491" t="s">
        <v>26</v>
      </c>
      <c r="E491" t="s">
        <v>207</v>
      </c>
    </row>
    <row r="492" spans="1:5">
      <c r="A492" t="s">
        <v>697</v>
      </c>
      <c r="B492" t="s">
        <v>35</v>
      </c>
      <c r="C492" t="s">
        <v>136</v>
      </c>
      <c r="D492" t="s">
        <v>26</v>
      </c>
      <c r="E492" t="s">
        <v>207</v>
      </c>
    </row>
    <row r="493" spans="1:5">
      <c r="A493" t="s">
        <v>698</v>
      </c>
      <c r="B493" t="s">
        <v>32</v>
      </c>
      <c r="C493" t="s">
        <v>146</v>
      </c>
      <c r="D493" t="s">
        <v>203</v>
      </c>
      <c r="E493" t="s">
        <v>204</v>
      </c>
    </row>
    <row r="494" spans="1:5">
      <c r="A494" t="s">
        <v>699</v>
      </c>
      <c r="B494" t="s">
        <v>85</v>
      </c>
      <c r="C494" t="s">
        <v>134</v>
      </c>
      <c r="D494" t="s">
        <v>26</v>
      </c>
      <c r="E494" t="s">
        <v>207</v>
      </c>
    </row>
    <row r="495" spans="1:5">
      <c r="A495" t="s">
        <v>700</v>
      </c>
      <c r="B495" t="s">
        <v>85</v>
      </c>
      <c r="C495" t="s">
        <v>148</v>
      </c>
      <c r="D495" t="s">
        <v>215</v>
      </c>
      <c r="E495" t="s">
        <v>207</v>
      </c>
    </row>
    <row r="496" spans="1:5">
      <c r="A496" t="s">
        <v>701</v>
      </c>
      <c r="B496" t="s">
        <v>113</v>
      </c>
      <c r="C496" t="s">
        <v>138</v>
      </c>
      <c r="D496" t="s">
        <v>215</v>
      </c>
      <c r="E496" t="s">
        <v>207</v>
      </c>
    </row>
    <row r="497" spans="1:5">
      <c r="A497" t="s">
        <v>702</v>
      </c>
      <c r="B497" t="s">
        <v>57</v>
      </c>
      <c r="C497" t="s">
        <v>130</v>
      </c>
      <c r="D497" t="s">
        <v>206</v>
      </c>
      <c r="E497" t="s">
        <v>204</v>
      </c>
    </row>
    <row r="498" spans="1:5">
      <c r="A498" t="s">
        <v>703</v>
      </c>
      <c r="B498" t="s">
        <v>19</v>
      </c>
      <c r="C498" t="s">
        <v>142</v>
      </c>
      <c r="D498" t="s">
        <v>200</v>
      </c>
      <c r="E498" t="s">
        <v>204</v>
      </c>
    </row>
    <row r="499" spans="1:5">
      <c r="A499" t="s">
        <v>704</v>
      </c>
      <c r="B499" t="s">
        <v>96</v>
      </c>
      <c r="C499" t="s">
        <v>130</v>
      </c>
      <c r="D499" t="s">
        <v>215</v>
      </c>
      <c r="E499" t="s">
        <v>207</v>
      </c>
    </row>
    <row r="500" spans="1:5">
      <c r="A500" t="s">
        <v>705</v>
      </c>
      <c r="B500" t="s">
        <v>16</v>
      </c>
      <c r="C500" t="s">
        <v>138</v>
      </c>
      <c r="D500" t="s">
        <v>203</v>
      </c>
      <c r="E500" t="s">
        <v>201</v>
      </c>
    </row>
    <row r="501" spans="1:5">
      <c r="A501" t="s">
        <v>706</v>
      </c>
      <c r="B501" t="s">
        <v>125</v>
      </c>
      <c r="C501" t="s">
        <v>134</v>
      </c>
      <c r="D501" t="s">
        <v>203</v>
      </c>
      <c r="E501" t="s">
        <v>210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01"/>
  <sheetViews>
    <sheetView workbookViewId="0">
      <selection activeCell="P10" sqref="P10"/>
    </sheetView>
  </sheetViews>
  <sheetFormatPr defaultColWidth="8.88671875" defaultRowHeight="14.4"/>
  <cols>
    <col min="5" max="5" width="11.33203125" customWidth="1"/>
    <col min="6" max="6" width="12.33203125" customWidth="1"/>
    <col min="8" max="8" width="14.6640625" customWidth="1"/>
    <col min="9" max="9" width="16.33203125" customWidth="1"/>
  </cols>
  <sheetData>
    <row r="1" spans="1:10">
      <c r="A1" s="22" t="s">
        <v>196</v>
      </c>
      <c r="B1" s="22" t="s">
        <v>0</v>
      </c>
      <c r="C1" s="22" t="s">
        <v>127</v>
      </c>
      <c r="D1" s="22" t="s">
        <v>189</v>
      </c>
      <c r="E1" s="22" t="s">
        <v>198</v>
      </c>
      <c r="F1" s="4" t="s">
        <v>1</v>
      </c>
      <c r="G1" s="4" t="s">
        <v>2</v>
      </c>
      <c r="H1" s="4" t="s">
        <v>128</v>
      </c>
      <c r="I1" s="4" t="s">
        <v>707</v>
      </c>
      <c r="J1" t="s">
        <v>708</v>
      </c>
    </row>
    <row r="2" spans="1:10">
      <c r="A2" t="s">
        <v>199</v>
      </c>
      <c r="B2" t="s">
        <v>112</v>
      </c>
      <c r="C2" t="s">
        <v>136</v>
      </c>
      <c r="D2">
        <v>6</v>
      </c>
      <c r="E2" t="s">
        <v>201</v>
      </c>
      <c r="F2" t="str">
        <f>VLOOKUP(B2,Students!$A$1:$C$101,2,FALSE)</f>
        <v>Robert Taylor</v>
      </c>
      <c r="G2" t="str">
        <f>VLOOKUP(B2,Students!$A$1:$C$101,3,FALSE)</f>
        <v>M</v>
      </c>
      <c r="H2" t="str">
        <f>VLOOKUP(C2,Courses!$A$1:$B$11,2,FALSE)</f>
        <v>Circuits</v>
      </c>
      <c r="I2" t="str">
        <f>VLOOKUP(B2,Students!$A$1:$E$101,5,0)</f>
        <v>Mechanical</v>
      </c>
      <c r="J2">
        <f>VLOOKUP(C2,Courses!$A$1:$C$11,3,FALSE)</f>
        <v>4</v>
      </c>
    </row>
    <row r="3" spans="1:10">
      <c r="A3" t="s">
        <v>202</v>
      </c>
      <c r="B3" t="s">
        <v>116</v>
      </c>
      <c r="C3" t="s">
        <v>132</v>
      </c>
      <c r="D3">
        <v>4</v>
      </c>
      <c r="E3" t="s">
        <v>204</v>
      </c>
      <c r="F3" t="str">
        <f>VLOOKUP(B3,Students!$A$1:$C$101,2,FALSE)</f>
        <v>Amit Kumar</v>
      </c>
      <c r="G3" t="str">
        <f>VLOOKUP(B3,Students!$A$1:$C$101,3,FALSE)</f>
        <v>M</v>
      </c>
      <c r="H3" t="str">
        <f>VLOOKUP(C3,Courses!$A$1:$B$11,2,FALSE)</f>
        <v>DBMS</v>
      </c>
      <c r="I3" t="str">
        <f>VLOOKUP(B3,Students!$A$1:$E$101,5,0)</f>
        <v>Mechanical</v>
      </c>
      <c r="J3">
        <f>VLOOKUP(C3,Courses!$A$1:$C$11,3,FALSE)</f>
        <v>4</v>
      </c>
    </row>
    <row r="4" spans="1:10">
      <c r="A4" t="s">
        <v>205</v>
      </c>
      <c r="B4" t="s">
        <v>87</v>
      </c>
      <c r="C4" t="s">
        <v>136</v>
      </c>
      <c r="D4">
        <v>8</v>
      </c>
      <c r="E4" t="s">
        <v>207</v>
      </c>
      <c r="F4" t="str">
        <f>VLOOKUP(B4,Students!$A$1:$C$101,2,FALSE)</f>
        <v>Sara Khan</v>
      </c>
      <c r="G4" t="str">
        <f>VLOOKUP(B4,Students!$A$1:$C$101,3,FALSE)</f>
        <v>M</v>
      </c>
      <c r="H4" t="str">
        <f>VLOOKUP(C4,Courses!$A$1:$B$11,2,FALSE)</f>
        <v>Circuits</v>
      </c>
      <c r="I4" t="str">
        <f>VLOOKUP(B4,Students!$A$1:$E$101,5,0)</f>
        <v>Civil</v>
      </c>
      <c r="J4">
        <f>VLOOKUP(C4,Courses!$A$1:$C$11,3,FALSE)</f>
        <v>4</v>
      </c>
    </row>
    <row r="5" spans="1:10">
      <c r="A5" t="s">
        <v>208</v>
      </c>
      <c r="B5" t="s">
        <v>70</v>
      </c>
      <c r="C5" t="s">
        <v>138</v>
      </c>
      <c r="D5">
        <v>8</v>
      </c>
      <c r="E5" t="s">
        <v>201</v>
      </c>
      <c r="F5" t="str">
        <f>VLOOKUP(B5,Students!$A$1:$C$101,2,FALSE)</f>
        <v>Sophia Wilson</v>
      </c>
      <c r="G5" t="str">
        <f>VLOOKUP(B5,Students!$A$1:$C$101,3,FALSE)</f>
        <v>F</v>
      </c>
      <c r="H5" t="str">
        <f>VLOOKUP(C5,Courses!$A$1:$B$11,2,FALSE)</f>
        <v>AI &amp; ML</v>
      </c>
      <c r="I5" t="str">
        <f>VLOOKUP(B5,Students!$A$1:$E$101,5,0)</f>
        <v>Management</v>
      </c>
      <c r="J5">
        <f>VLOOKUP(C5,Courses!$A$1:$C$11,3,FALSE)</f>
        <v>3</v>
      </c>
    </row>
    <row r="6" spans="1:10">
      <c r="A6" t="s">
        <v>209</v>
      </c>
      <c r="B6" t="s">
        <v>13</v>
      </c>
      <c r="C6" t="s">
        <v>136</v>
      </c>
      <c r="D6">
        <v>4</v>
      </c>
      <c r="E6" t="s">
        <v>210</v>
      </c>
      <c r="F6" t="str">
        <f>VLOOKUP(B6,Students!$A$1:$C$101,2,FALSE)</f>
        <v>Ankit Sharma</v>
      </c>
      <c r="G6" t="str">
        <f>VLOOKUP(B6,Students!$A$1:$C$101,3,FALSE)</f>
        <v>M</v>
      </c>
      <c r="H6" t="str">
        <f>VLOOKUP(C6,Courses!$A$1:$B$11,2,FALSE)</f>
        <v>Circuits</v>
      </c>
      <c r="I6" t="str">
        <f>VLOOKUP(B6,Students!$A$1:$E$101,5,0)</f>
        <v>Mechanical</v>
      </c>
      <c r="J6">
        <f>VLOOKUP(C6,Courses!$A$1:$C$11,3,FALSE)</f>
        <v>4</v>
      </c>
    </row>
    <row r="7" spans="1:10">
      <c r="A7" t="s">
        <v>211</v>
      </c>
      <c r="B7" t="s">
        <v>60</v>
      </c>
      <c r="C7" t="s">
        <v>132</v>
      </c>
      <c r="D7">
        <v>6</v>
      </c>
      <c r="E7" t="s">
        <v>210</v>
      </c>
      <c r="F7" t="str">
        <f>VLOOKUP(B7,Students!$A$1:$C$101,2,FALSE)</f>
        <v>James Clark</v>
      </c>
      <c r="G7" t="str">
        <f>VLOOKUP(B7,Students!$A$1:$C$101,3,FALSE)</f>
        <v>M</v>
      </c>
      <c r="H7" t="str">
        <f>VLOOKUP(C7,Courses!$A$1:$B$11,2,FALSE)</f>
        <v>DBMS</v>
      </c>
      <c r="I7" t="str">
        <f>VLOOKUP(B7,Students!$A$1:$E$101,5,0)</f>
        <v>Management</v>
      </c>
      <c r="J7">
        <f>VLOOKUP(C7,Courses!$A$1:$C$11,3,FALSE)</f>
        <v>4</v>
      </c>
    </row>
    <row r="8" spans="1:10">
      <c r="A8" t="s">
        <v>212</v>
      </c>
      <c r="B8" t="s">
        <v>109</v>
      </c>
      <c r="C8" t="s">
        <v>146</v>
      </c>
      <c r="D8">
        <v>4</v>
      </c>
      <c r="E8" t="s">
        <v>210</v>
      </c>
      <c r="F8" t="str">
        <f>VLOOKUP(B8,Students!$A$1:$C$101,2,FALSE)</f>
        <v>Chris Evans</v>
      </c>
      <c r="G8" t="str">
        <f>VLOOKUP(B8,Students!$A$1:$C$101,3,FALSE)</f>
        <v>F</v>
      </c>
      <c r="H8" t="str">
        <f>VLOOKUP(C8,Courses!$A$1:$B$11,2,FALSE)</f>
        <v>Marketing</v>
      </c>
      <c r="I8" t="str">
        <f>VLOOKUP(B8,Students!$A$1:$E$101,5,0)</f>
        <v>Management</v>
      </c>
      <c r="J8">
        <f>VLOOKUP(C8,Courses!$A$1:$C$11,3,FALSE)</f>
        <v>3</v>
      </c>
    </row>
    <row r="9" spans="1:10">
      <c r="A9" t="s">
        <v>213</v>
      </c>
      <c r="B9" t="s">
        <v>13</v>
      </c>
      <c r="C9" t="s">
        <v>132</v>
      </c>
      <c r="D9">
        <v>6</v>
      </c>
      <c r="E9" t="s">
        <v>201</v>
      </c>
      <c r="F9" t="str">
        <f>VLOOKUP(B9,Students!$A$1:$C$101,2,FALSE)</f>
        <v>Ankit Sharma</v>
      </c>
      <c r="G9" t="str">
        <f>VLOOKUP(B9,Students!$A$1:$C$101,3,FALSE)</f>
        <v>M</v>
      </c>
      <c r="H9" t="str">
        <f>VLOOKUP(C9,Courses!$A$1:$B$11,2,FALSE)</f>
        <v>DBMS</v>
      </c>
      <c r="I9" t="str">
        <f>VLOOKUP(B9,Students!$A$1:$E$101,5,0)</f>
        <v>Mechanical</v>
      </c>
      <c r="J9">
        <f>VLOOKUP(C9,Courses!$A$1:$C$11,3,FALSE)</f>
        <v>4</v>
      </c>
    </row>
    <row r="10" spans="1:10">
      <c r="A10" t="s">
        <v>214</v>
      </c>
      <c r="B10" t="s">
        <v>101</v>
      </c>
      <c r="C10" t="s">
        <v>138</v>
      </c>
      <c r="D10">
        <v>10</v>
      </c>
      <c r="E10" t="s">
        <v>204</v>
      </c>
      <c r="F10" t="str">
        <f>VLOOKUP(B10,Students!$A$1:$C$101,2,FALSE)</f>
        <v>Priya Verma</v>
      </c>
      <c r="G10" t="str">
        <f>VLOOKUP(B10,Students!$A$1:$C$101,3,FALSE)</f>
        <v>F</v>
      </c>
      <c r="H10" t="str">
        <f>VLOOKUP(C10,Courses!$A$1:$B$11,2,FALSE)</f>
        <v>AI &amp; ML</v>
      </c>
      <c r="I10" t="str">
        <f>VLOOKUP(B10,Students!$A$1:$E$101,5,0)</f>
        <v>Electronics</v>
      </c>
      <c r="J10">
        <f>VLOOKUP(C10,Courses!$A$1:$C$11,3,FALSE)</f>
        <v>3</v>
      </c>
    </row>
    <row r="11" spans="1:10">
      <c r="A11" t="s">
        <v>216</v>
      </c>
      <c r="B11" t="s">
        <v>103</v>
      </c>
      <c r="C11" t="s">
        <v>142</v>
      </c>
      <c r="D11">
        <v>6</v>
      </c>
      <c r="E11" t="s">
        <v>210</v>
      </c>
      <c r="F11" t="str">
        <f>VLOOKUP(B11,Students!$A$1:$C$101,2,FALSE)</f>
        <v>Sara Khan</v>
      </c>
      <c r="G11" t="str">
        <f>VLOOKUP(B11,Students!$A$1:$C$101,3,FALSE)</f>
        <v>M</v>
      </c>
      <c r="H11" t="str">
        <f>VLOOKUP(C11,Courses!$A$1:$B$11,2,FALSE)</f>
        <v>Digital Logic</v>
      </c>
      <c r="I11" t="str">
        <f>VLOOKUP(B11,Students!$A$1:$E$101,5,0)</f>
        <v>Civil</v>
      </c>
      <c r="J11">
        <f>VLOOKUP(C11,Courses!$A$1:$C$11,3,FALSE)</f>
        <v>3</v>
      </c>
    </row>
    <row r="12" spans="1:10">
      <c r="A12" t="s">
        <v>217</v>
      </c>
      <c r="B12" t="s">
        <v>82</v>
      </c>
      <c r="C12" t="s">
        <v>148</v>
      </c>
      <c r="D12">
        <v>0</v>
      </c>
      <c r="E12" t="s">
        <v>204</v>
      </c>
      <c r="F12" t="str">
        <f>VLOOKUP(B12,Students!$A$1:$C$101,2,FALSE)</f>
        <v>Priya Verma</v>
      </c>
      <c r="G12" t="str">
        <f>VLOOKUP(B12,Students!$A$1:$C$101,3,FALSE)</f>
        <v>M</v>
      </c>
      <c r="H12" t="str">
        <f>VLOOKUP(C12,Courses!$A$1:$B$11,2,FALSE)</f>
        <v>Finance</v>
      </c>
      <c r="I12" t="str">
        <f>VLOOKUP(B12,Students!$A$1:$E$101,5,0)</f>
        <v>Electronics</v>
      </c>
      <c r="J12">
        <f>VLOOKUP(C12,Courses!$A$1:$C$11,3,FALSE)</f>
        <v>4</v>
      </c>
    </row>
    <row r="13" spans="1:10">
      <c r="A13" t="s">
        <v>218</v>
      </c>
      <c r="B13" t="s">
        <v>76</v>
      </c>
      <c r="C13" t="s">
        <v>148</v>
      </c>
      <c r="D13">
        <v>8</v>
      </c>
      <c r="E13" t="s">
        <v>210</v>
      </c>
      <c r="F13" t="str">
        <f>VLOOKUP(B13,Students!$A$1:$C$101,2,FALSE)</f>
        <v>Emily Davis</v>
      </c>
      <c r="G13" t="str">
        <f>VLOOKUP(B13,Students!$A$1:$C$101,3,FALSE)</f>
        <v>M</v>
      </c>
      <c r="H13" t="str">
        <f>VLOOKUP(C13,Courses!$A$1:$B$11,2,FALSE)</f>
        <v>Finance</v>
      </c>
      <c r="I13" t="str">
        <f>VLOOKUP(B13,Students!$A$1:$E$101,5,0)</f>
        <v>Computer Sci</v>
      </c>
      <c r="J13">
        <f>VLOOKUP(C13,Courses!$A$1:$C$11,3,FALSE)</f>
        <v>4</v>
      </c>
    </row>
    <row r="14" spans="1:10">
      <c r="A14" t="s">
        <v>219</v>
      </c>
      <c r="B14" t="s">
        <v>19</v>
      </c>
      <c r="C14" t="s">
        <v>142</v>
      </c>
      <c r="D14">
        <v>10</v>
      </c>
      <c r="E14" t="s">
        <v>201</v>
      </c>
      <c r="F14" t="str">
        <f>VLOOKUP(B14,Students!$A$1:$C$101,2,FALSE)</f>
        <v>Sara Khan</v>
      </c>
      <c r="G14" t="str">
        <f>VLOOKUP(B14,Students!$A$1:$C$101,3,FALSE)</f>
        <v>M</v>
      </c>
      <c r="H14" t="str">
        <f>VLOOKUP(C14,Courses!$A$1:$B$11,2,FALSE)</f>
        <v>Digital Logic</v>
      </c>
      <c r="I14" t="str">
        <f>VLOOKUP(B14,Students!$A$1:$E$101,5,0)</f>
        <v>Management</v>
      </c>
      <c r="J14">
        <f>VLOOKUP(C14,Courses!$A$1:$C$11,3,FALSE)</f>
        <v>3</v>
      </c>
    </row>
    <row r="15" spans="1:10">
      <c r="A15" t="s">
        <v>220</v>
      </c>
      <c r="B15" t="s">
        <v>72</v>
      </c>
      <c r="C15" t="s">
        <v>142</v>
      </c>
      <c r="D15">
        <v>10</v>
      </c>
      <c r="E15" t="s">
        <v>210</v>
      </c>
      <c r="F15" t="str">
        <f>VLOOKUP(B15,Students!$A$1:$C$101,2,FALSE)</f>
        <v>Nisha Gupta</v>
      </c>
      <c r="G15" t="str">
        <f>VLOOKUP(B15,Students!$A$1:$C$101,3,FALSE)</f>
        <v>F</v>
      </c>
      <c r="H15" t="str">
        <f>VLOOKUP(C15,Courses!$A$1:$B$11,2,FALSE)</f>
        <v>Digital Logic</v>
      </c>
      <c r="I15" t="str">
        <f>VLOOKUP(B15,Students!$A$1:$E$101,5,0)</f>
        <v>Management</v>
      </c>
      <c r="J15">
        <f>VLOOKUP(C15,Courses!$A$1:$C$11,3,FALSE)</f>
        <v>3</v>
      </c>
    </row>
    <row r="16" spans="1:10">
      <c r="A16" t="s">
        <v>221</v>
      </c>
      <c r="B16" t="s">
        <v>106</v>
      </c>
      <c r="C16" t="s">
        <v>140</v>
      </c>
      <c r="D16">
        <v>10</v>
      </c>
      <c r="E16" t="s">
        <v>210</v>
      </c>
      <c r="F16" t="str">
        <f>VLOOKUP(B16,Students!$A$1:$C$101,2,FALSE)</f>
        <v>Sneha Patil</v>
      </c>
      <c r="G16" t="str">
        <f>VLOOKUP(B16,Students!$A$1:$C$101,3,FALSE)</f>
        <v>F</v>
      </c>
      <c r="H16" t="str">
        <f>VLOOKUP(C16,Courses!$A$1:$B$11,2,FALSE)</f>
        <v>Fluid Mechanics</v>
      </c>
      <c r="I16" t="str">
        <f>VLOOKUP(B16,Students!$A$1:$E$101,5,0)</f>
        <v>Electronics</v>
      </c>
      <c r="J16">
        <f>VLOOKUP(C16,Courses!$A$1:$C$11,3,FALSE)</f>
        <v>4</v>
      </c>
    </row>
    <row r="17" spans="1:10">
      <c r="A17" t="s">
        <v>222</v>
      </c>
      <c r="B17" t="s">
        <v>91</v>
      </c>
      <c r="C17" t="s">
        <v>138</v>
      </c>
      <c r="D17">
        <v>4</v>
      </c>
      <c r="E17" t="s">
        <v>210</v>
      </c>
      <c r="F17" t="str">
        <f>VLOOKUP(B17,Students!$A$1:$C$101,2,FALSE)</f>
        <v>Michael Brown</v>
      </c>
      <c r="G17" t="str">
        <f>VLOOKUP(B17,Students!$A$1:$C$101,3,FALSE)</f>
        <v>F</v>
      </c>
      <c r="H17" t="str">
        <f>VLOOKUP(C17,Courses!$A$1:$B$11,2,FALSE)</f>
        <v>AI &amp; ML</v>
      </c>
      <c r="I17" t="str">
        <f>VLOOKUP(B17,Students!$A$1:$E$101,5,0)</f>
        <v>Civil</v>
      </c>
      <c r="J17">
        <f>VLOOKUP(C17,Courses!$A$1:$C$11,3,FALSE)</f>
        <v>3</v>
      </c>
    </row>
    <row r="18" spans="1:10">
      <c r="A18" t="s">
        <v>223</v>
      </c>
      <c r="B18" t="s">
        <v>78</v>
      </c>
      <c r="C18" t="s">
        <v>138</v>
      </c>
      <c r="D18">
        <v>0</v>
      </c>
      <c r="E18" t="s">
        <v>201</v>
      </c>
      <c r="F18" t="str">
        <f>VLOOKUP(B18,Students!$A$1:$C$101,2,FALSE)</f>
        <v>James Clark</v>
      </c>
      <c r="G18" t="str">
        <f>VLOOKUP(B18,Students!$A$1:$C$101,3,FALSE)</f>
        <v>M</v>
      </c>
      <c r="H18" t="str">
        <f>VLOOKUP(C18,Courses!$A$1:$B$11,2,FALSE)</f>
        <v>AI &amp; ML</v>
      </c>
      <c r="I18" t="str">
        <f>VLOOKUP(B18,Students!$A$1:$E$101,5,0)</f>
        <v>Computer Sci</v>
      </c>
      <c r="J18">
        <f>VLOOKUP(C18,Courses!$A$1:$C$11,3,FALSE)</f>
        <v>3</v>
      </c>
    </row>
    <row r="19" spans="1:10">
      <c r="A19" t="s">
        <v>224</v>
      </c>
      <c r="B19" t="s">
        <v>48</v>
      </c>
      <c r="C19" t="s">
        <v>142</v>
      </c>
      <c r="D19">
        <v>4</v>
      </c>
      <c r="E19" t="s">
        <v>201</v>
      </c>
      <c r="F19" t="str">
        <f>VLOOKUP(B19,Students!$A$1:$C$101,2,FALSE)</f>
        <v>Sara Khan</v>
      </c>
      <c r="G19" t="str">
        <f>VLOOKUP(B19,Students!$A$1:$C$101,3,FALSE)</f>
        <v>F</v>
      </c>
      <c r="H19" t="str">
        <f>VLOOKUP(C19,Courses!$A$1:$B$11,2,FALSE)</f>
        <v>Digital Logic</v>
      </c>
      <c r="I19" t="str">
        <f>VLOOKUP(B19,Students!$A$1:$E$101,5,0)</f>
        <v>Electronics</v>
      </c>
      <c r="J19">
        <f>VLOOKUP(C19,Courses!$A$1:$C$11,3,FALSE)</f>
        <v>3</v>
      </c>
    </row>
    <row r="20" spans="1:10">
      <c r="A20" t="s">
        <v>225</v>
      </c>
      <c r="B20" t="s">
        <v>105</v>
      </c>
      <c r="C20" t="s">
        <v>148</v>
      </c>
      <c r="D20">
        <v>6</v>
      </c>
      <c r="E20" t="s">
        <v>207</v>
      </c>
      <c r="F20" t="str">
        <f>VLOOKUP(B20,Students!$A$1:$C$101,2,FALSE)</f>
        <v>Raj Mehta</v>
      </c>
      <c r="G20" t="str">
        <f>VLOOKUP(B20,Students!$A$1:$C$101,3,FALSE)</f>
        <v>M</v>
      </c>
      <c r="H20" t="str">
        <f>VLOOKUP(C20,Courses!$A$1:$B$11,2,FALSE)</f>
        <v>Finance</v>
      </c>
      <c r="I20" t="str">
        <f>VLOOKUP(B20,Students!$A$1:$E$101,5,0)</f>
        <v>Management</v>
      </c>
      <c r="J20">
        <f>VLOOKUP(C20,Courses!$A$1:$C$11,3,FALSE)</f>
        <v>4</v>
      </c>
    </row>
    <row r="21" spans="1:10">
      <c r="A21" t="s">
        <v>226</v>
      </c>
      <c r="B21" t="s">
        <v>97</v>
      </c>
      <c r="C21" t="s">
        <v>130</v>
      </c>
      <c r="D21">
        <v>6</v>
      </c>
      <c r="E21" t="s">
        <v>210</v>
      </c>
      <c r="F21" t="str">
        <f>VLOOKUP(B21,Students!$A$1:$C$101,2,FALSE)</f>
        <v>Ankit Sharma</v>
      </c>
      <c r="G21" t="str">
        <f>VLOOKUP(B21,Students!$A$1:$C$101,3,FALSE)</f>
        <v>F</v>
      </c>
      <c r="H21" t="str">
        <f>VLOOKUP(C21,Courses!$A$1:$B$11,2,FALSE)</f>
        <v>Data Structures</v>
      </c>
      <c r="I21" t="str">
        <f>VLOOKUP(B21,Students!$A$1:$E$101,5,0)</f>
        <v>Computer Sci</v>
      </c>
      <c r="J21">
        <f>VLOOKUP(C21,Courses!$A$1:$C$11,3,FALSE)</f>
        <v>3</v>
      </c>
    </row>
    <row r="22" spans="1:10">
      <c r="A22" t="s">
        <v>227</v>
      </c>
      <c r="B22" t="s">
        <v>51</v>
      </c>
      <c r="C22" t="s">
        <v>142</v>
      </c>
      <c r="D22">
        <v>0</v>
      </c>
      <c r="E22" t="s">
        <v>210</v>
      </c>
      <c r="F22" t="str">
        <f>VLOOKUP(B22,Students!$A$1:$C$101,2,FALSE)</f>
        <v>Sara Khan</v>
      </c>
      <c r="G22" t="str">
        <f>VLOOKUP(B22,Students!$A$1:$C$101,3,FALSE)</f>
        <v>F</v>
      </c>
      <c r="H22" t="str">
        <f>VLOOKUP(C22,Courses!$A$1:$B$11,2,FALSE)</f>
        <v>Digital Logic</v>
      </c>
      <c r="I22" t="str">
        <f>VLOOKUP(B22,Students!$A$1:$E$101,5,0)</f>
        <v>Mechanical</v>
      </c>
      <c r="J22">
        <f>VLOOKUP(C22,Courses!$A$1:$C$11,3,FALSE)</f>
        <v>3</v>
      </c>
    </row>
    <row r="23" spans="1:10">
      <c r="A23" t="s">
        <v>228</v>
      </c>
      <c r="B23" t="s">
        <v>86</v>
      </c>
      <c r="C23" t="s">
        <v>144</v>
      </c>
      <c r="D23">
        <v>4</v>
      </c>
      <c r="E23" t="s">
        <v>201</v>
      </c>
      <c r="F23" t="str">
        <f>VLOOKUP(B23,Students!$A$1:$C$101,2,FALSE)</f>
        <v>Sneha Patil</v>
      </c>
      <c r="G23" t="str">
        <f>VLOOKUP(B23,Students!$A$1:$C$101,3,FALSE)</f>
        <v>M</v>
      </c>
      <c r="H23" t="str">
        <f>VLOOKUP(C23,Courses!$A$1:$B$11,2,FALSE)</f>
        <v>Structural Analysis</v>
      </c>
      <c r="I23" t="str">
        <f>VLOOKUP(B23,Students!$A$1:$E$101,5,0)</f>
        <v>Mechanical</v>
      </c>
      <c r="J23">
        <f>VLOOKUP(C23,Courses!$A$1:$C$11,3,FALSE)</f>
        <v>4</v>
      </c>
    </row>
    <row r="24" spans="1:10">
      <c r="A24" t="s">
        <v>229</v>
      </c>
      <c r="B24" t="s">
        <v>92</v>
      </c>
      <c r="C24" t="s">
        <v>144</v>
      </c>
      <c r="D24">
        <v>8</v>
      </c>
      <c r="E24" t="s">
        <v>204</v>
      </c>
      <c r="F24" t="str">
        <f>VLOOKUP(B24,Students!$A$1:$C$101,2,FALSE)</f>
        <v>James Clark</v>
      </c>
      <c r="G24" t="str">
        <f>VLOOKUP(B24,Students!$A$1:$C$101,3,FALSE)</f>
        <v>M</v>
      </c>
      <c r="H24" t="str">
        <f>VLOOKUP(C24,Courses!$A$1:$B$11,2,FALSE)</f>
        <v>Structural Analysis</v>
      </c>
      <c r="I24" t="str">
        <f>VLOOKUP(B24,Students!$A$1:$E$101,5,0)</f>
        <v>Civil</v>
      </c>
      <c r="J24">
        <f>VLOOKUP(C24,Courses!$A$1:$C$11,3,FALSE)</f>
        <v>4</v>
      </c>
    </row>
    <row r="25" spans="1:10">
      <c r="A25" t="s">
        <v>230</v>
      </c>
      <c r="B25" t="s">
        <v>61</v>
      </c>
      <c r="C25" t="s">
        <v>146</v>
      </c>
      <c r="D25">
        <v>0</v>
      </c>
      <c r="E25" t="s">
        <v>210</v>
      </c>
      <c r="F25" t="str">
        <f>VLOOKUP(B25,Students!$A$1:$C$101,2,FALSE)</f>
        <v>Raj Mehta</v>
      </c>
      <c r="G25" t="str">
        <f>VLOOKUP(B25,Students!$A$1:$C$101,3,FALSE)</f>
        <v>M</v>
      </c>
      <c r="H25" t="str">
        <f>VLOOKUP(C25,Courses!$A$1:$B$11,2,FALSE)</f>
        <v>Marketing</v>
      </c>
      <c r="I25" t="str">
        <f>VLOOKUP(B25,Students!$A$1:$E$101,5,0)</f>
        <v>Electronics</v>
      </c>
      <c r="J25">
        <f>VLOOKUP(C25,Courses!$A$1:$C$11,3,FALSE)</f>
        <v>3</v>
      </c>
    </row>
    <row r="26" spans="1:10">
      <c r="A26" t="s">
        <v>231</v>
      </c>
      <c r="B26" t="s">
        <v>32</v>
      </c>
      <c r="C26" t="s">
        <v>136</v>
      </c>
      <c r="D26">
        <v>6</v>
      </c>
      <c r="E26" t="s">
        <v>201</v>
      </c>
      <c r="F26" t="str">
        <f>VLOOKUP(B26,Students!$A$1:$C$101,2,FALSE)</f>
        <v>Emily Davis</v>
      </c>
      <c r="G26" t="str">
        <f>VLOOKUP(B26,Students!$A$1:$C$101,3,FALSE)</f>
        <v>M</v>
      </c>
      <c r="H26" t="str">
        <f>VLOOKUP(C26,Courses!$A$1:$B$11,2,FALSE)</f>
        <v>Circuits</v>
      </c>
      <c r="I26" t="str">
        <f>VLOOKUP(B26,Students!$A$1:$E$101,5,0)</f>
        <v>Computer Sci</v>
      </c>
      <c r="J26">
        <f>VLOOKUP(C26,Courses!$A$1:$C$11,3,FALSE)</f>
        <v>4</v>
      </c>
    </row>
    <row r="27" spans="1:10">
      <c r="A27" t="s">
        <v>232</v>
      </c>
      <c r="B27" t="s">
        <v>49</v>
      </c>
      <c r="C27" t="s">
        <v>134</v>
      </c>
      <c r="D27">
        <v>10</v>
      </c>
      <c r="E27" t="s">
        <v>204</v>
      </c>
      <c r="F27" t="str">
        <f>VLOOKUP(B27,Students!$A$1:$C$101,2,FALSE)</f>
        <v>John Smith</v>
      </c>
      <c r="G27" t="str">
        <f>VLOOKUP(B27,Students!$A$1:$C$101,3,FALSE)</f>
        <v>M</v>
      </c>
      <c r="H27" t="str">
        <f>VLOOKUP(C27,Courses!$A$1:$B$11,2,FALSE)</f>
        <v>Thermodynamics</v>
      </c>
      <c r="I27" t="str">
        <f>VLOOKUP(B27,Students!$A$1:$E$101,5,0)</f>
        <v>Management</v>
      </c>
      <c r="J27">
        <f>VLOOKUP(C27,Courses!$A$1:$C$11,3,FALSE)</f>
        <v>3</v>
      </c>
    </row>
    <row r="28" spans="1:10">
      <c r="A28" t="s">
        <v>233</v>
      </c>
      <c r="B28" t="s">
        <v>56</v>
      </c>
      <c r="C28" t="s">
        <v>144</v>
      </c>
      <c r="D28">
        <v>0</v>
      </c>
      <c r="E28" t="s">
        <v>204</v>
      </c>
      <c r="F28" t="str">
        <f>VLOOKUP(B28,Students!$A$1:$C$101,2,FALSE)</f>
        <v>Sophia Wilson</v>
      </c>
      <c r="G28" t="str">
        <f>VLOOKUP(B28,Students!$A$1:$C$101,3,FALSE)</f>
        <v>M</v>
      </c>
      <c r="H28" t="str">
        <f>VLOOKUP(C28,Courses!$A$1:$B$11,2,FALSE)</f>
        <v>Structural Analysis</v>
      </c>
      <c r="I28" t="str">
        <f>VLOOKUP(B28,Students!$A$1:$E$101,5,0)</f>
        <v>Management</v>
      </c>
      <c r="J28">
        <f>VLOOKUP(C28,Courses!$A$1:$C$11,3,FALSE)</f>
        <v>4</v>
      </c>
    </row>
    <row r="29" spans="1:10">
      <c r="A29" t="s">
        <v>234</v>
      </c>
      <c r="B29" t="s">
        <v>85</v>
      </c>
      <c r="C29" t="s">
        <v>142</v>
      </c>
      <c r="D29">
        <v>0</v>
      </c>
      <c r="E29" t="s">
        <v>201</v>
      </c>
      <c r="F29" t="str">
        <f>VLOOKUP(B29,Students!$A$1:$C$101,2,FALSE)</f>
        <v>Chris Evans</v>
      </c>
      <c r="G29" t="str">
        <f>VLOOKUP(B29,Students!$A$1:$C$101,3,FALSE)</f>
        <v>F</v>
      </c>
      <c r="H29" t="str">
        <f>VLOOKUP(C29,Courses!$A$1:$B$11,2,FALSE)</f>
        <v>Digital Logic</v>
      </c>
      <c r="I29" t="str">
        <f>VLOOKUP(B29,Students!$A$1:$E$101,5,0)</f>
        <v>Mechanical</v>
      </c>
      <c r="J29">
        <f>VLOOKUP(C29,Courses!$A$1:$C$11,3,FALSE)</f>
        <v>3</v>
      </c>
    </row>
    <row r="30" spans="1:10">
      <c r="A30" t="s">
        <v>235</v>
      </c>
      <c r="B30" t="s">
        <v>118</v>
      </c>
      <c r="C30" t="s">
        <v>142</v>
      </c>
      <c r="D30">
        <v>4</v>
      </c>
      <c r="E30" t="s">
        <v>207</v>
      </c>
      <c r="F30" t="str">
        <f>VLOOKUP(B30,Students!$A$1:$C$101,2,FALSE)</f>
        <v>Ankit Sharma</v>
      </c>
      <c r="G30" t="str">
        <f>VLOOKUP(B30,Students!$A$1:$C$101,3,FALSE)</f>
        <v>M</v>
      </c>
      <c r="H30" t="str">
        <f>VLOOKUP(C30,Courses!$A$1:$B$11,2,FALSE)</f>
        <v>Digital Logic</v>
      </c>
      <c r="I30" t="str">
        <f>VLOOKUP(B30,Students!$A$1:$E$101,5,0)</f>
        <v>Mechanical</v>
      </c>
      <c r="J30">
        <f>VLOOKUP(C30,Courses!$A$1:$C$11,3,FALSE)</f>
        <v>3</v>
      </c>
    </row>
    <row r="31" spans="1:10">
      <c r="A31" t="s">
        <v>236</v>
      </c>
      <c r="B31" t="s">
        <v>56</v>
      </c>
      <c r="C31" t="s">
        <v>134</v>
      </c>
      <c r="D31">
        <v>10</v>
      </c>
      <c r="E31" t="s">
        <v>204</v>
      </c>
      <c r="F31" t="str">
        <f>VLOOKUP(B31,Students!$A$1:$C$101,2,FALSE)</f>
        <v>Sophia Wilson</v>
      </c>
      <c r="G31" t="str">
        <f>VLOOKUP(B31,Students!$A$1:$C$101,3,FALSE)</f>
        <v>M</v>
      </c>
      <c r="H31" t="str">
        <f>VLOOKUP(C31,Courses!$A$1:$B$11,2,FALSE)</f>
        <v>Thermodynamics</v>
      </c>
      <c r="I31" t="str">
        <f>VLOOKUP(B31,Students!$A$1:$E$101,5,0)</f>
        <v>Management</v>
      </c>
      <c r="J31">
        <f>VLOOKUP(C31,Courses!$A$1:$C$11,3,FALSE)</f>
        <v>3</v>
      </c>
    </row>
    <row r="32" spans="1:10">
      <c r="A32" t="s">
        <v>237</v>
      </c>
      <c r="B32" t="s">
        <v>126</v>
      </c>
      <c r="C32" t="s">
        <v>142</v>
      </c>
      <c r="D32">
        <v>8</v>
      </c>
      <c r="E32" t="s">
        <v>201</v>
      </c>
      <c r="F32" t="str">
        <f>VLOOKUP(B32,Students!$A$1:$C$101,2,FALSE)</f>
        <v>Ankit Sharma</v>
      </c>
      <c r="G32" t="str">
        <f>VLOOKUP(B32,Students!$A$1:$C$101,3,FALSE)</f>
        <v>M</v>
      </c>
      <c r="H32" t="str">
        <f>VLOOKUP(C32,Courses!$A$1:$B$11,2,FALSE)</f>
        <v>Digital Logic</v>
      </c>
      <c r="I32" t="str">
        <f>VLOOKUP(B32,Students!$A$1:$E$101,5,0)</f>
        <v>Civil</v>
      </c>
      <c r="J32">
        <f>VLOOKUP(C32,Courses!$A$1:$C$11,3,FALSE)</f>
        <v>3</v>
      </c>
    </row>
    <row r="33" spans="1:10">
      <c r="A33" t="s">
        <v>238</v>
      </c>
      <c r="B33" t="s">
        <v>116</v>
      </c>
      <c r="C33" t="s">
        <v>146</v>
      </c>
      <c r="D33">
        <v>4</v>
      </c>
      <c r="E33" t="s">
        <v>204</v>
      </c>
      <c r="F33" t="str">
        <f>VLOOKUP(B33,Students!$A$1:$C$101,2,FALSE)</f>
        <v>Amit Kumar</v>
      </c>
      <c r="G33" t="str">
        <f>VLOOKUP(B33,Students!$A$1:$C$101,3,FALSE)</f>
        <v>M</v>
      </c>
      <c r="H33" t="str">
        <f>VLOOKUP(C33,Courses!$A$1:$B$11,2,FALSE)</f>
        <v>Marketing</v>
      </c>
      <c r="I33" t="str">
        <f>VLOOKUP(B33,Students!$A$1:$E$101,5,0)</f>
        <v>Mechanical</v>
      </c>
      <c r="J33">
        <f>VLOOKUP(C33,Courses!$A$1:$C$11,3,FALSE)</f>
        <v>3</v>
      </c>
    </row>
    <row r="34" spans="1:10">
      <c r="A34" t="s">
        <v>239</v>
      </c>
      <c r="B34" t="s">
        <v>98</v>
      </c>
      <c r="C34" t="s">
        <v>136</v>
      </c>
      <c r="D34">
        <v>10</v>
      </c>
      <c r="E34" t="s">
        <v>207</v>
      </c>
      <c r="F34" t="str">
        <f>VLOOKUP(B34,Students!$A$1:$C$101,2,FALSE)</f>
        <v>Emily Davis</v>
      </c>
      <c r="G34" t="str">
        <f>VLOOKUP(B34,Students!$A$1:$C$101,3,FALSE)</f>
        <v>M</v>
      </c>
      <c r="H34" t="str">
        <f>VLOOKUP(C34,Courses!$A$1:$B$11,2,FALSE)</f>
        <v>Circuits</v>
      </c>
      <c r="I34" t="str">
        <f>VLOOKUP(B34,Students!$A$1:$E$101,5,0)</f>
        <v>Computer Sci</v>
      </c>
      <c r="J34">
        <f>VLOOKUP(C34,Courses!$A$1:$C$11,3,FALSE)</f>
        <v>4</v>
      </c>
    </row>
    <row r="35" spans="1:10">
      <c r="A35" t="s">
        <v>240</v>
      </c>
      <c r="B35" t="s">
        <v>40</v>
      </c>
      <c r="C35" t="s">
        <v>144</v>
      </c>
      <c r="D35">
        <v>0</v>
      </c>
      <c r="E35" t="s">
        <v>210</v>
      </c>
      <c r="F35" t="str">
        <f>VLOOKUP(B35,Students!$A$1:$C$101,2,FALSE)</f>
        <v>Amit Kumar</v>
      </c>
      <c r="G35" t="str">
        <f>VLOOKUP(B35,Students!$A$1:$C$101,3,FALSE)</f>
        <v>M</v>
      </c>
      <c r="H35" t="str">
        <f>VLOOKUP(C35,Courses!$A$1:$B$11,2,FALSE)</f>
        <v>Structural Analysis</v>
      </c>
      <c r="I35" t="str">
        <f>VLOOKUP(B35,Students!$A$1:$E$101,5,0)</f>
        <v>Computer Sci</v>
      </c>
      <c r="J35">
        <f>VLOOKUP(C35,Courses!$A$1:$C$11,3,FALSE)</f>
        <v>4</v>
      </c>
    </row>
    <row r="36" spans="1:10">
      <c r="A36" t="s">
        <v>241</v>
      </c>
      <c r="B36" t="s">
        <v>123</v>
      </c>
      <c r="C36" t="s">
        <v>144</v>
      </c>
      <c r="D36">
        <v>0</v>
      </c>
      <c r="E36" t="s">
        <v>207</v>
      </c>
      <c r="F36" t="str">
        <f>VLOOKUP(B36,Students!$A$1:$C$101,2,FALSE)</f>
        <v>Nisha Gupta</v>
      </c>
      <c r="G36" t="str">
        <f>VLOOKUP(B36,Students!$A$1:$C$101,3,FALSE)</f>
        <v>M</v>
      </c>
      <c r="H36" t="str">
        <f>VLOOKUP(C36,Courses!$A$1:$B$11,2,FALSE)</f>
        <v>Structural Analysis</v>
      </c>
      <c r="I36" t="str">
        <f>VLOOKUP(B36,Students!$A$1:$E$101,5,0)</f>
        <v>Management</v>
      </c>
      <c r="J36">
        <f>VLOOKUP(C36,Courses!$A$1:$C$11,3,FALSE)</f>
        <v>4</v>
      </c>
    </row>
    <row r="37" spans="1:10">
      <c r="A37" t="s">
        <v>242</v>
      </c>
      <c r="B37" t="s">
        <v>97</v>
      </c>
      <c r="C37" t="s">
        <v>144</v>
      </c>
      <c r="D37">
        <v>8</v>
      </c>
      <c r="E37" t="s">
        <v>207</v>
      </c>
      <c r="F37" t="str">
        <f>VLOOKUP(B37,Students!$A$1:$C$101,2,FALSE)</f>
        <v>Ankit Sharma</v>
      </c>
      <c r="G37" t="str">
        <f>VLOOKUP(B37,Students!$A$1:$C$101,3,FALSE)</f>
        <v>F</v>
      </c>
      <c r="H37" t="str">
        <f>VLOOKUP(C37,Courses!$A$1:$B$11,2,FALSE)</f>
        <v>Structural Analysis</v>
      </c>
      <c r="I37" t="str">
        <f>VLOOKUP(B37,Students!$A$1:$E$101,5,0)</f>
        <v>Computer Sci</v>
      </c>
      <c r="J37">
        <f>VLOOKUP(C37,Courses!$A$1:$C$11,3,FALSE)</f>
        <v>4</v>
      </c>
    </row>
    <row r="38" spans="1:10">
      <c r="A38" t="s">
        <v>243</v>
      </c>
      <c r="B38" t="s">
        <v>84</v>
      </c>
      <c r="C38" t="s">
        <v>138</v>
      </c>
      <c r="D38">
        <v>8</v>
      </c>
      <c r="E38" t="s">
        <v>210</v>
      </c>
      <c r="F38" t="str">
        <f>VLOOKUP(B38,Students!$A$1:$C$101,2,FALSE)</f>
        <v>Nisha Gupta</v>
      </c>
      <c r="G38" t="str">
        <f>VLOOKUP(B38,Students!$A$1:$C$101,3,FALSE)</f>
        <v>M</v>
      </c>
      <c r="H38" t="str">
        <f>VLOOKUP(C38,Courses!$A$1:$B$11,2,FALSE)</f>
        <v>AI &amp; ML</v>
      </c>
      <c r="I38" t="str">
        <f>VLOOKUP(B38,Students!$A$1:$E$101,5,0)</f>
        <v>Civil</v>
      </c>
      <c r="J38">
        <f>VLOOKUP(C38,Courses!$A$1:$C$11,3,FALSE)</f>
        <v>3</v>
      </c>
    </row>
    <row r="39" spans="1:10">
      <c r="A39" t="s">
        <v>244</v>
      </c>
      <c r="B39" t="s">
        <v>125</v>
      </c>
      <c r="C39" t="s">
        <v>146</v>
      </c>
      <c r="D39">
        <v>4</v>
      </c>
      <c r="E39" t="s">
        <v>201</v>
      </c>
      <c r="F39" t="str">
        <f>VLOOKUP(B39,Students!$A$1:$C$101,2,FALSE)</f>
        <v>Sophia Wilson</v>
      </c>
      <c r="G39" t="str">
        <f>VLOOKUP(B39,Students!$A$1:$C$101,3,FALSE)</f>
        <v>M</v>
      </c>
      <c r="H39" t="str">
        <f>VLOOKUP(C39,Courses!$A$1:$B$11,2,FALSE)</f>
        <v>Marketing</v>
      </c>
      <c r="I39" t="str">
        <f>VLOOKUP(B39,Students!$A$1:$E$101,5,0)</f>
        <v>Civil</v>
      </c>
      <c r="J39">
        <f>VLOOKUP(C39,Courses!$A$1:$C$11,3,FALSE)</f>
        <v>3</v>
      </c>
    </row>
    <row r="40" spans="1:10">
      <c r="A40" t="s">
        <v>245</v>
      </c>
      <c r="B40" t="s">
        <v>60</v>
      </c>
      <c r="C40" t="s">
        <v>144</v>
      </c>
      <c r="D40">
        <v>10</v>
      </c>
      <c r="E40" t="s">
        <v>210</v>
      </c>
      <c r="F40" t="str">
        <f>VLOOKUP(B40,Students!$A$1:$C$101,2,FALSE)</f>
        <v>James Clark</v>
      </c>
      <c r="G40" t="str">
        <f>VLOOKUP(B40,Students!$A$1:$C$101,3,FALSE)</f>
        <v>M</v>
      </c>
      <c r="H40" t="str">
        <f>VLOOKUP(C40,Courses!$A$1:$B$11,2,FALSE)</f>
        <v>Structural Analysis</v>
      </c>
      <c r="I40" t="str">
        <f>VLOOKUP(B40,Students!$A$1:$E$101,5,0)</f>
        <v>Management</v>
      </c>
      <c r="J40">
        <f>VLOOKUP(C40,Courses!$A$1:$C$11,3,FALSE)</f>
        <v>4</v>
      </c>
    </row>
    <row r="41" spans="1:10">
      <c r="A41" t="s">
        <v>246</v>
      </c>
      <c r="B41" t="s">
        <v>55</v>
      </c>
      <c r="C41" t="s">
        <v>138</v>
      </c>
      <c r="D41">
        <v>6</v>
      </c>
      <c r="E41" t="s">
        <v>210</v>
      </c>
      <c r="F41" t="str">
        <f>VLOOKUP(B41,Students!$A$1:$C$101,2,FALSE)</f>
        <v>Sara Khan</v>
      </c>
      <c r="G41" t="str">
        <f>VLOOKUP(B41,Students!$A$1:$C$101,3,FALSE)</f>
        <v>F</v>
      </c>
      <c r="H41" t="str">
        <f>VLOOKUP(C41,Courses!$A$1:$B$11,2,FALSE)</f>
        <v>AI &amp; ML</v>
      </c>
      <c r="I41" t="str">
        <f>VLOOKUP(B41,Students!$A$1:$E$101,5,0)</f>
        <v>Management</v>
      </c>
      <c r="J41">
        <f>VLOOKUP(C41,Courses!$A$1:$C$11,3,FALSE)</f>
        <v>3</v>
      </c>
    </row>
    <row r="42" spans="1:10">
      <c r="A42" t="s">
        <v>247</v>
      </c>
      <c r="B42" t="s">
        <v>96</v>
      </c>
      <c r="C42" t="s">
        <v>132</v>
      </c>
      <c r="D42">
        <v>8</v>
      </c>
      <c r="E42" t="s">
        <v>201</v>
      </c>
      <c r="F42" t="str">
        <f>VLOOKUP(B42,Students!$A$1:$C$101,2,FALSE)</f>
        <v>Raj Mehta</v>
      </c>
      <c r="G42" t="str">
        <f>VLOOKUP(B42,Students!$A$1:$C$101,3,FALSE)</f>
        <v>M</v>
      </c>
      <c r="H42" t="str">
        <f>VLOOKUP(C42,Courses!$A$1:$B$11,2,FALSE)</f>
        <v>DBMS</v>
      </c>
      <c r="I42" t="str">
        <f>VLOOKUP(B42,Students!$A$1:$E$101,5,0)</f>
        <v>Computer Sci</v>
      </c>
      <c r="J42">
        <f>VLOOKUP(C42,Courses!$A$1:$C$11,3,FALSE)</f>
        <v>4</v>
      </c>
    </row>
    <row r="43" spans="1:10">
      <c r="A43" t="s">
        <v>248</v>
      </c>
      <c r="B43" t="s">
        <v>54</v>
      </c>
      <c r="C43" t="s">
        <v>142</v>
      </c>
      <c r="D43">
        <v>8</v>
      </c>
      <c r="E43" t="s">
        <v>201</v>
      </c>
      <c r="F43" t="str">
        <f>VLOOKUP(B43,Students!$A$1:$C$101,2,FALSE)</f>
        <v>Daniel Lee</v>
      </c>
      <c r="G43" t="str">
        <f>VLOOKUP(B43,Students!$A$1:$C$101,3,FALSE)</f>
        <v>F</v>
      </c>
      <c r="H43" t="str">
        <f>VLOOKUP(C43,Courses!$A$1:$B$11,2,FALSE)</f>
        <v>Digital Logic</v>
      </c>
      <c r="I43" t="str">
        <f>VLOOKUP(B43,Students!$A$1:$E$101,5,0)</f>
        <v>Civil</v>
      </c>
      <c r="J43">
        <f>VLOOKUP(C43,Courses!$A$1:$C$11,3,FALSE)</f>
        <v>3</v>
      </c>
    </row>
    <row r="44" spans="1:10">
      <c r="A44" t="s">
        <v>249</v>
      </c>
      <c r="B44" t="s">
        <v>27</v>
      </c>
      <c r="C44" t="s">
        <v>142</v>
      </c>
      <c r="D44">
        <v>4</v>
      </c>
      <c r="E44" t="s">
        <v>210</v>
      </c>
      <c r="F44" t="str">
        <f>VLOOKUP(B44,Students!$A$1:$C$101,2,FALSE)</f>
        <v>Daniel Lee</v>
      </c>
      <c r="G44" t="str">
        <f>VLOOKUP(B44,Students!$A$1:$C$101,3,FALSE)</f>
        <v>F</v>
      </c>
      <c r="H44" t="str">
        <f>VLOOKUP(C44,Courses!$A$1:$B$11,2,FALSE)</f>
        <v>Digital Logic</v>
      </c>
      <c r="I44" t="str">
        <f>VLOOKUP(B44,Students!$A$1:$E$101,5,0)</f>
        <v>Computer Sci</v>
      </c>
      <c r="J44">
        <f>VLOOKUP(C44,Courses!$A$1:$C$11,3,FALSE)</f>
        <v>3</v>
      </c>
    </row>
    <row r="45" spans="1:10">
      <c r="A45" t="s">
        <v>250</v>
      </c>
      <c r="B45" t="s">
        <v>96</v>
      </c>
      <c r="C45" t="s">
        <v>144</v>
      </c>
      <c r="D45">
        <v>4</v>
      </c>
      <c r="E45" t="s">
        <v>204</v>
      </c>
      <c r="F45" t="str">
        <f>VLOOKUP(B45,Students!$A$1:$C$101,2,FALSE)</f>
        <v>Raj Mehta</v>
      </c>
      <c r="G45" t="str">
        <f>VLOOKUP(B45,Students!$A$1:$C$101,3,FALSE)</f>
        <v>M</v>
      </c>
      <c r="H45" t="str">
        <f>VLOOKUP(C45,Courses!$A$1:$B$11,2,FALSE)</f>
        <v>Structural Analysis</v>
      </c>
      <c r="I45" t="str">
        <f>VLOOKUP(B45,Students!$A$1:$E$101,5,0)</f>
        <v>Computer Sci</v>
      </c>
      <c r="J45">
        <f>VLOOKUP(C45,Courses!$A$1:$C$11,3,FALSE)</f>
        <v>4</v>
      </c>
    </row>
    <row r="46" spans="1:10">
      <c r="A46" t="s">
        <v>251</v>
      </c>
      <c r="B46" t="s">
        <v>51</v>
      </c>
      <c r="C46" t="s">
        <v>142</v>
      </c>
      <c r="D46">
        <v>4</v>
      </c>
      <c r="E46" t="s">
        <v>204</v>
      </c>
      <c r="F46" t="str">
        <f>VLOOKUP(B46,Students!$A$1:$C$101,2,FALSE)</f>
        <v>Sara Khan</v>
      </c>
      <c r="G46" t="str">
        <f>VLOOKUP(B46,Students!$A$1:$C$101,3,FALSE)</f>
        <v>F</v>
      </c>
      <c r="H46" t="str">
        <f>VLOOKUP(C46,Courses!$A$1:$B$11,2,FALSE)</f>
        <v>Digital Logic</v>
      </c>
      <c r="I46" t="str">
        <f>VLOOKUP(B46,Students!$A$1:$E$101,5,0)</f>
        <v>Mechanical</v>
      </c>
      <c r="J46">
        <f>VLOOKUP(C46,Courses!$A$1:$C$11,3,FALSE)</f>
        <v>3</v>
      </c>
    </row>
    <row r="47" spans="1:10">
      <c r="A47" t="s">
        <v>252</v>
      </c>
      <c r="B47" t="s">
        <v>124</v>
      </c>
      <c r="C47" t="s">
        <v>148</v>
      </c>
      <c r="D47">
        <v>4</v>
      </c>
      <c r="E47" t="s">
        <v>207</v>
      </c>
      <c r="F47" t="str">
        <f>VLOOKUP(B47,Students!$A$1:$C$101,2,FALSE)</f>
        <v>James Clark</v>
      </c>
      <c r="G47" t="str">
        <f>VLOOKUP(B47,Students!$A$1:$C$101,3,FALSE)</f>
        <v>F</v>
      </c>
      <c r="H47" t="str">
        <f>VLOOKUP(C47,Courses!$A$1:$B$11,2,FALSE)</f>
        <v>Finance</v>
      </c>
      <c r="I47" t="str">
        <f>VLOOKUP(B47,Students!$A$1:$E$101,5,0)</f>
        <v>Mechanical</v>
      </c>
      <c r="J47">
        <f>VLOOKUP(C47,Courses!$A$1:$C$11,3,FALSE)</f>
        <v>4</v>
      </c>
    </row>
    <row r="48" spans="1:10">
      <c r="A48" t="s">
        <v>253</v>
      </c>
      <c r="B48" t="s">
        <v>5</v>
      </c>
      <c r="C48" t="s">
        <v>140</v>
      </c>
      <c r="D48">
        <v>6</v>
      </c>
      <c r="E48" t="s">
        <v>207</v>
      </c>
      <c r="F48" t="str">
        <f>VLOOKUP(B48,Students!$A$1:$C$101,2,FALSE)</f>
        <v>Nisha Gupta</v>
      </c>
      <c r="G48" t="str">
        <f>VLOOKUP(B48,Students!$A$1:$C$101,3,FALSE)</f>
        <v>M</v>
      </c>
      <c r="H48" t="str">
        <f>VLOOKUP(C48,Courses!$A$1:$B$11,2,FALSE)</f>
        <v>Fluid Mechanics</v>
      </c>
      <c r="I48" t="str">
        <f>VLOOKUP(B48,Students!$A$1:$E$101,5,0)</f>
        <v>Electronics</v>
      </c>
      <c r="J48">
        <f>VLOOKUP(C48,Courses!$A$1:$C$11,3,FALSE)</f>
        <v>4</v>
      </c>
    </row>
    <row r="49" spans="1:10">
      <c r="A49" t="s">
        <v>254</v>
      </c>
      <c r="B49" t="s">
        <v>80</v>
      </c>
      <c r="C49" t="s">
        <v>146</v>
      </c>
      <c r="D49">
        <v>0</v>
      </c>
      <c r="E49" t="s">
        <v>201</v>
      </c>
      <c r="F49" t="str">
        <f>VLOOKUP(B49,Students!$A$1:$C$101,2,FALSE)</f>
        <v>Sneha Patil</v>
      </c>
      <c r="G49" t="str">
        <f>VLOOKUP(B49,Students!$A$1:$C$101,3,FALSE)</f>
        <v>M</v>
      </c>
      <c r="H49" t="str">
        <f>VLOOKUP(C49,Courses!$A$1:$B$11,2,FALSE)</f>
        <v>Marketing</v>
      </c>
      <c r="I49" t="str">
        <f>VLOOKUP(B49,Students!$A$1:$E$101,5,0)</f>
        <v>Mechanical</v>
      </c>
      <c r="J49">
        <f>VLOOKUP(C49,Courses!$A$1:$C$11,3,FALSE)</f>
        <v>3</v>
      </c>
    </row>
    <row r="50" spans="1:10">
      <c r="A50" t="s">
        <v>255</v>
      </c>
      <c r="B50" t="s">
        <v>89</v>
      </c>
      <c r="C50" t="s">
        <v>136</v>
      </c>
      <c r="D50">
        <v>6</v>
      </c>
      <c r="E50" t="s">
        <v>207</v>
      </c>
      <c r="F50" t="str">
        <f>VLOOKUP(B50,Students!$A$1:$C$101,2,FALSE)</f>
        <v>Priya Verma</v>
      </c>
      <c r="G50" t="str">
        <f>VLOOKUP(B50,Students!$A$1:$C$101,3,FALSE)</f>
        <v>M</v>
      </c>
      <c r="H50" t="str">
        <f>VLOOKUP(C50,Courses!$A$1:$B$11,2,FALSE)</f>
        <v>Circuits</v>
      </c>
      <c r="I50" t="str">
        <f>VLOOKUP(B50,Students!$A$1:$E$101,5,0)</f>
        <v>Computer Sci</v>
      </c>
      <c r="J50">
        <f>VLOOKUP(C50,Courses!$A$1:$C$11,3,FALSE)</f>
        <v>4</v>
      </c>
    </row>
    <row r="51" spans="1:10">
      <c r="A51" t="s">
        <v>256</v>
      </c>
      <c r="B51" t="s">
        <v>89</v>
      </c>
      <c r="C51" t="s">
        <v>130</v>
      </c>
      <c r="D51">
        <v>4</v>
      </c>
      <c r="E51" t="s">
        <v>210</v>
      </c>
      <c r="F51" t="str">
        <f>VLOOKUP(B51,Students!$A$1:$C$101,2,FALSE)</f>
        <v>Priya Verma</v>
      </c>
      <c r="G51" t="str">
        <f>VLOOKUP(B51,Students!$A$1:$C$101,3,FALSE)</f>
        <v>M</v>
      </c>
      <c r="H51" t="str">
        <f>VLOOKUP(C51,Courses!$A$1:$B$11,2,FALSE)</f>
        <v>Data Structures</v>
      </c>
      <c r="I51" t="str">
        <f>VLOOKUP(B51,Students!$A$1:$E$101,5,0)</f>
        <v>Computer Sci</v>
      </c>
      <c r="J51">
        <f>VLOOKUP(C51,Courses!$A$1:$C$11,3,FALSE)</f>
        <v>3</v>
      </c>
    </row>
    <row r="52" spans="1:10">
      <c r="A52" t="s">
        <v>257</v>
      </c>
      <c r="B52" t="s">
        <v>112</v>
      </c>
      <c r="C52" t="s">
        <v>142</v>
      </c>
      <c r="D52">
        <v>8</v>
      </c>
      <c r="E52" t="s">
        <v>207</v>
      </c>
      <c r="F52" t="str">
        <f>VLOOKUP(B52,Students!$A$1:$C$101,2,FALSE)</f>
        <v>Robert Taylor</v>
      </c>
      <c r="G52" t="str">
        <f>VLOOKUP(B52,Students!$A$1:$C$101,3,FALSE)</f>
        <v>M</v>
      </c>
      <c r="H52" t="str">
        <f>VLOOKUP(C52,Courses!$A$1:$B$11,2,FALSE)</f>
        <v>Digital Logic</v>
      </c>
      <c r="I52" t="str">
        <f>VLOOKUP(B52,Students!$A$1:$E$101,5,0)</f>
        <v>Mechanical</v>
      </c>
      <c r="J52">
        <f>VLOOKUP(C52,Courses!$A$1:$C$11,3,FALSE)</f>
        <v>3</v>
      </c>
    </row>
    <row r="53" spans="1:10">
      <c r="A53" t="s">
        <v>258</v>
      </c>
      <c r="B53" t="s">
        <v>38</v>
      </c>
      <c r="C53" t="s">
        <v>148</v>
      </c>
      <c r="D53">
        <v>0</v>
      </c>
      <c r="E53" t="s">
        <v>204</v>
      </c>
      <c r="F53" t="str">
        <f>VLOOKUP(B53,Students!$A$1:$C$101,2,FALSE)</f>
        <v>Michael Brown</v>
      </c>
      <c r="G53" t="str">
        <f>VLOOKUP(B53,Students!$A$1:$C$101,3,FALSE)</f>
        <v>F</v>
      </c>
      <c r="H53" t="str">
        <f>VLOOKUP(C53,Courses!$A$1:$B$11,2,FALSE)</f>
        <v>Finance</v>
      </c>
      <c r="I53" t="str">
        <f>VLOOKUP(B53,Students!$A$1:$E$101,5,0)</f>
        <v>Electronics</v>
      </c>
      <c r="J53">
        <f>VLOOKUP(C53,Courses!$A$1:$C$11,3,FALSE)</f>
        <v>4</v>
      </c>
    </row>
    <row r="54" spans="1:10">
      <c r="A54" t="s">
        <v>259</v>
      </c>
      <c r="B54" t="s">
        <v>77</v>
      </c>
      <c r="C54" t="s">
        <v>148</v>
      </c>
      <c r="D54">
        <v>0</v>
      </c>
      <c r="E54" t="s">
        <v>204</v>
      </c>
      <c r="F54" t="str">
        <f>VLOOKUP(B54,Students!$A$1:$C$101,2,FALSE)</f>
        <v>Priya Verma</v>
      </c>
      <c r="G54" t="str">
        <f>VLOOKUP(B54,Students!$A$1:$C$101,3,FALSE)</f>
        <v>M</v>
      </c>
      <c r="H54" t="str">
        <f>VLOOKUP(C54,Courses!$A$1:$B$11,2,FALSE)</f>
        <v>Finance</v>
      </c>
      <c r="I54" t="str">
        <f>VLOOKUP(B54,Students!$A$1:$E$101,5,0)</f>
        <v>Computer Sci</v>
      </c>
      <c r="J54">
        <f>VLOOKUP(C54,Courses!$A$1:$C$11,3,FALSE)</f>
        <v>4</v>
      </c>
    </row>
    <row r="55" spans="1:10">
      <c r="A55" t="s">
        <v>260</v>
      </c>
      <c r="B55" t="s">
        <v>30</v>
      </c>
      <c r="C55" t="s">
        <v>142</v>
      </c>
      <c r="D55">
        <v>8</v>
      </c>
      <c r="E55" t="s">
        <v>207</v>
      </c>
      <c r="F55" t="str">
        <f>VLOOKUP(B55,Students!$A$1:$C$101,2,FALSE)</f>
        <v>Raj Mehta</v>
      </c>
      <c r="G55" t="str">
        <f>VLOOKUP(B55,Students!$A$1:$C$101,3,FALSE)</f>
        <v>F</v>
      </c>
      <c r="H55" t="str">
        <f>VLOOKUP(C55,Courses!$A$1:$B$11,2,FALSE)</f>
        <v>Digital Logic</v>
      </c>
      <c r="I55" t="str">
        <f>VLOOKUP(B55,Students!$A$1:$E$101,5,0)</f>
        <v>Civil</v>
      </c>
      <c r="J55">
        <f>VLOOKUP(C55,Courses!$A$1:$C$11,3,FALSE)</f>
        <v>3</v>
      </c>
    </row>
    <row r="56" spans="1:10">
      <c r="A56" t="s">
        <v>261</v>
      </c>
      <c r="B56" t="s">
        <v>46</v>
      </c>
      <c r="C56" t="s">
        <v>130</v>
      </c>
      <c r="D56">
        <v>6</v>
      </c>
      <c r="E56" t="s">
        <v>207</v>
      </c>
      <c r="F56" t="str">
        <f>VLOOKUP(B56,Students!$A$1:$C$101,2,FALSE)</f>
        <v>James Clark</v>
      </c>
      <c r="G56" t="str">
        <f>VLOOKUP(B56,Students!$A$1:$C$101,3,FALSE)</f>
        <v>F</v>
      </c>
      <c r="H56" t="str">
        <f>VLOOKUP(C56,Courses!$A$1:$B$11,2,FALSE)</f>
        <v>Data Structures</v>
      </c>
      <c r="I56" t="str">
        <f>VLOOKUP(B56,Students!$A$1:$E$101,5,0)</f>
        <v>Civil</v>
      </c>
      <c r="J56">
        <f>VLOOKUP(C56,Courses!$A$1:$C$11,3,FALSE)</f>
        <v>3</v>
      </c>
    </row>
    <row r="57" spans="1:10">
      <c r="A57" t="s">
        <v>262</v>
      </c>
      <c r="B57" t="s">
        <v>66</v>
      </c>
      <c r="C57" t="s">
        <v>136</v>
      </c>
      <c r="D57">
        <v>4</v>
      </c>
      <c r="E57" t="s">
        <v>210</v>
      </c>
      <c r="F57" t="str">
        <f>VLOOKUP(B57,Students!$A$1:$C$101,2,FALSE)</f>
        <v>Chris Evans</v>
      </c>
      <c r="G57" t="str">
        <f>VLOOKUP(B57,Students!$A$1:$C$101,3,FALSE)</f>
        <v>F</v>
      </c>
      <c r="H57" t="str">
        <f>VLOOKUP(C57,Courses!$A$1:$B$11,2,FALSE)</f>
        <v>Circuits</v>
      </c>
      <c r="I57" t="str">
        <f>VLOOKUP(B57,Students!$A$1:$E$101,5,0)</f>
        <v>Management</v>
      </c>
      <c r="J57">
        <f>VLOOKUP(C57,Courses!$A$1:$C$11,3,FALSE)</f>
        <v>4</v>
      </c>
    </row>
    <row r="58" spans="1:10">
      <c r="A58" t="s">
        <v>263</v>
      </c>
      <c r="B58" t="s">
        <v>69</v>
      </c>
      <c r="C58" t="s">
        <v>142</v>
      </c>
      <c r="D58">
        <v>6</v>
      </c>
      <c r="E58" t="s">
        <v>207</v>
      </c>
      <c r="F58" t="str">
        <f>VLOOKUP(B58,Students!$A$1:$C$101,2,FALSE)</f>
        <v>Emily Davis</v>
      </c>
      <c r="G58" t="str">
        <f>VLOOKUP(B58,Students!$A$1:$C$101,3,FALSE)</f>
        <v>M</v>
      </c>
      <c r="H58" t="str">
        <f>VLOOKUP(C58,Courses!$A$1:$B$11,2,FALSE)</f>
        <v>Digital Logic</v>
      </c>
      <c r="I58" t="str">
        <f>VLOOKUP(B58,Students!$A$1:$E$101,5,0)</f>
        <v>Management</v>
      </c>
      <c r="J58">
        <f>VLOOKUP(C58,Courses!$A$1:$C$11,3,FALSE)</f>
        <v>3</v>
      </c>
    </row>
    <row r="59" spans="1:10">
      <c r="A59" t="s">
        <v>264</v>
      </c>
      <c r="B59" t="s">
        <v>57</v>
      </c>
      <c r="C59" t="s">
        <v>132</v>
      </c>
      <c r="D59">
        <v>4</v>
      </c>
      <c r="E59" t="s">
        <v>204</v>
      </c>
      <c r="F59" t="str">
        <f>VLOOKUP(B59,Students!$A$1:$C$101,2,FALSE)</f>
        <v>Daniel Lee</v>
      </c>
      <c r="G59" t="str">
        <f>VLOOKUP(B59,Students!$A$1:$C$101,3,FALSE)</f>
        <v>F</v>
      </c>
      <c r="H59" t="str">
        <f>VLOOKUP(C59,Courses!$A$1:$B$11,2,FALSE)</f>
        <v>DBMS</v>
      </c>
      <c r="I59" t="str">
        <f>VLOOKUP(B59,Students!$A$1:$E$101,5,0)</f>
        <v>Computer Sci</v>
      </c>
      <c r="J59">
        <f>VLOOKUP(C59,Courses!$A$1:$C$11,3,FALSE)</f>
        <v>4</v>
      </c>
    </row>
    <row r="60" spans="1:10">
      <c r="A60" t="s">
        <v>265</v>
      </c>
      <c r="B60" t="s">
        <v>122</v>
      </c>
      <c r="C60" t="s">
        <v>146</v>
      </c>
      <c r="D60">
        <v>10</v>
      </c>
      <c r="E60" t="s">
        <v>210</v>
      </c>
      <c r="F60" t="str">
        <f>VLOOKUP(B60,Students!$A$1:$C$101,2,FALSE)</f>
        <v>James Clark</v>
      </c>
      <c r="G60" t="str">
        <f>VLOOKUP(B60,Students!$A$1:$C$101,3,FALSE)</f>
        <v>F</v>
      </c>
      <c r="H60" t="str">
        <f>VLOOKUP(C60,Courses!$A$1:$B$11,2,FALSE)</f>
        <v>Marketing</v>
      </c>
      <c r="I60" t="str">
        <f>VLOOKUP(B60,Students!$A$1:$E$101,5,0)</f>
        <v>Mechanical</v>
      </c>
      <c r="J60">
        <f>VLOOKUP(C60,Courses!$A$1:$C$11,3,FALSE)</f>
        <v>3</v>
      </c>
    </row>
    <row r="61" spans="1:10">
      <c r="A61" t="s">
        <v>266</v>
      </c>
      <c r="B61" t="s">
        <v>53</v>
      </c>
      <c r="C61" t="s">
        <v>132</v>
      </c>
      <c r="D61">
        <v>10</v>
      </c>
      <c r="E61" t="s">
        <v>204</v>
      </c>
      <c r="F61" t="str">
        <f>VLOOKUP(B61,Students!$A$1:$C$101,2,FALSE)</f>
        <v>Sophia Wilson</v>
      </c>
      <c r="G61" t="str">
        <f>VLOOKUP(B61,Students!$A$1:$C$101,3,FALSE)</f>
        <v>M</v>
      </c>
      <c r="H61" t="str">
        <f>VLOOKUP(C61,Courses!$A$1:$B$11,2,FALSE)</f>
        <v>DBMS</v>
      </c>
      <c r="I61" t="str">
        <f>VLOOKUP(B61,Students!$A$1:$E$101,5,0)</f>
        <v>Mechanical</v>
      </c>
      <c r="J61">
        <f>VLOOKUP(C61,Courses!$A$1:$C$11,3,FALSE)</f>
        <v>4</v>
      </c>
    </row>
    <row r="62" spans="1:10">
      <c r="A62" t="s">
        <v>267</v>
      </c>
      <c r="B62" t="s">
        <v>56</v>
      </c>
      <c r="C62" t="s">
        <v>136</v>
      </c>
      <c r="D62">
        <v>10</v>
      </c>
      <c r="E62" t="s">
        <v>201</v>
      </c>
      <c r="F62" t="str">
        <f>VLOOKUP(B62,Students!$A$1:$C$101,2,FALSE)</f>
        <v>Sophia Wilson</v>
      </c>
      <c r="G62" t="str">
        <f>VLOOKUP(B62,Students!$A$1:$C$101,3,FALSE)</f>
        <v>M</v>
      </c>
      <c r="H62" t="str">
        <f>VLOOKUP(C62,Courses!$A$1:$B$11,2,FALSE)</f>
        <v>Circuits</v>
      </c>
      <c r="I62" t="str">
        <f>VLOOKUP(B62,Students!$A$1:$E$101,5,0)</f>
        <v>Management</v>
      </c>
      <c r="J62">
        <f>VLOOKUP(C62,Courses!$A$1:$C$11,3,FALSE)</f>
        <v>4</v>
      </c>
    </row>
    <row r="63" spans="1:10">
      <c r="A63" t="s">
        <v>268</v>
      </c>
      <c r="B63" t="s">
        <v>55</v>
      </c>
      <c r="C63" t="s">
        <v>134</v>
      </c>
      <c r="D63">
        <v>4</v>
      </c>
      <c r="E63" t="s">
        <v>204</v>
      </c>
      <c r="F63" t="str">
        <f>VLOOKUP(B63,Students!$A$1:$C$101,2,FALSE)</f>
        <v>Sara Khan</v>
      </c>
      <c r="G63" t="str">
        <f>VLOOKUP(B63,Students!$A$1:$C$101,3,FALSE)</f>
        <v>F</v>
      </c>
      <c r="H63" t="str">
        <f>VLOOKUP(C63,Courses!$A$1:$B$11,2,FALSE)</f>
        <v>Thermodynamics</v>
      </c>
      <c r="I63" t="str">
        <f>VLOOKUP(B63,Students!$A$1:$E$101,5,0)</f>
        <v>Management</v>
      </c>
      <c r="J63">
        <f>VLOOKUP(C63,Courses!$A$1:$C$11,3,FALSE)</f>
        <v>3</v>
      </c>
    </row>
    <row r="64" spans="1:10">
      <c r="A64" t="s">
        <v>269</v>
      </c>
      <c r="B64" t="s">
        <v>99</v>
      </c>
      <c r="C64" t="s">
        <v>136</v>
      </c>
      <c r="D64">
        <v>4</v>
      </c>
      <c r="E64" t="s">
        <v>210</v>
      </c>
      <c r="F64" t="str">
        <f>VLOOKUP(B64,Students!$A$1:$C$101,2,FALSE)</f>
        <v>Raj Mehta</v>
      </c>
      <c r="G64" t="str">
        <f>VLOOKUP(B64,Students!$A$1:$C$101,3,FALSE)</f>
        <v>M</v>
      </c>
      <c r="H64" t="str">
        <f>VLOOKUP(C64,Courses!$A$1:$B$11,2,FALSE)</f>
        <v>Circuits</v>
      </c>
      <c r="I64" t="str">
        <f>VLOOKUP(B64,Students!$A$1:$E$101,5,0)</f>
        <v>Civil</v>
      </c>
      <c r="J64">
        <f>VLOOKUP(C64,Courses!$A$1:$C$11,3,FALSE)</f>
        <v>4</v>
      </c>
    </row>
    <row r="65" spans="1:10">
      <c r="A65" t="s">
        <v>270</v>
      </c>
      <c r="B65" t="s">
        <v>125</v>
      </c>
      <c r="C65" t="s">
        <v>140</v>
      </c>
      <c r="D65">
        <v>8</v>
      </c>
      <c r="E65" t="s">
        <v>204</v>
      </c>
      <c r="F65" t="str">
        <f>VLOOKUP(B65,Students!$A$1:$C$101,2,FALSE)</f>
        <v>Sophia Wilson</v>
      </c>
      <c r="G65" t="str">
        <f>VLOOKUP(B65,Students!$A$1:$C$101,3,FALSE)</f>
        <v>M</v>
      </c>
      <c r="H65" t="str">
        <f>VLOOKUP(C65,Courses!$A$1:$B$11,2,FALSE)</f>
        <v>Fluid Mechanics</v>
      </c>
      <c r="I65" t="str">
        <f>VLOOKUP(B65,Students!$A$1:$E$101,5,0)</f>
        <v>Civil</v>
      </c>
      <c r="J65">
        <f>VLOOKUP(C65,Courses!$A$1:$C$11,3,FALSE)</f>
        <v>4</v>
      </c>
    </row>
    <row r="66" spans="1:10">
      <c r="A66" t="s">
        <v>271</v>
      </c>
      <c r="B66" t="s">
        <v>126</v>
      </c>
      <c r="C66" t="s">
        <v>134</v>
      </c>
      <c r="D66">
        <v>6</v>
      </c>
      <c r="E66" t="s">
        <v>204</v>
      </c>
      <c r="F66" t="str">
        <f>VLOOKUP(B66,Students!$A$1:$C$101,2,FALSE)</f>
        <v>Ankit Sharma</v>
      </c>
      <c r="G66" t="str">
        <f>VLOOKUP(B66,Students!$A$1:$C$101,3,FALSE)</f>
        <v>M</v>
      </c>
      <c r="H66" t="str">
        <f>VLOOKUP(C66,Courses!$A$1:$B$11,2,FALSE)</f>
        <v>Thermodynamics</v>
      </c>
      <c r="I66" t="str">
        <f>VLOOKUP(B66,Students!$A$1:$E$101,5,0)</f>
        <v>Civil</v>
      </c>
      <c r="J66">
        <f>VLOOKUP(C66,Courses!$A$1:$C$11,3,FALSE)</f>
        <v>3</v>
      </c>
    </row>
    <row r="67" spans="1:10">
      <c r="A67" t="s">
        <v>272</v>
      </c>
      <c r="B67" t="s">
        <v>101</v>
      </c>
      <c r="C67" t="s">
        <v>130</v>
      </c>
      <c r="D67">
        <v>6</v>
      </c>
      <c r="E67" t="s">
        <v>207</v>
      </c>
      <c r="F67" t="str">
        <f>VLOOKUP(B67,Students!$A$1:$C$101,2,FALSE)</f>
        <v>Priya Verma</v>
      </c>
      <c r="G67" t="str">
        <f>VLOOKUP(B67,Students!$A$1:$C$101,3,FALSE)</f>
        <v>F</v>
      </c>
      <c r="H67" t="str">
        <f>VLOOKUP(C67,Courses!$A$1:$B$11,2,FALSE)</f>
        <v>Data Structures</v>
      </c>
      <c r="I67" t="str">
        <f>VLOOKUP(B67,Students!$A$1:$E$101,5,0)</f>
        <v>Electronics</v>
      </c>
      <c r="J67">
        <f>VLOOKUP(C67,Courses!$A$1:$C$11,3,FALSE)</f>
        <v>3</v>
      </c>
    </row>
    <row r="68" spans="1:10">
      <c r="A68" t="s">
        <v>273</v>
      </c>
      <c r="B68" t="s">
        <v>77</v>
      </c>
      <c r="C68" t="s">
        <v>136</v>
      </c>
      <c r="D68">
        <v>10</v>
      </c>
      <c r="E68" t="s">
        <v>201</v>
      </c>
      <c r="F68" t="str">
        <f>VLOOKUP(B68,Students!$A$1:$C$101,2,FALSE)</f>
        <v>Priya Verma</v>
      </c>
      <c r="G68" t="str">
        <f>VLOOKUP(B68,Students!$A$1:$C$101,3,FALSE)</f>
        <v>M</v>
      </c>
      <c r="H68" t="str">
        <f>VLOOKUP(C68,Courses!$A$1:$B$11,2,FALSE)</f>
        <v>Circuits</v>
      </c>
      <c r="I68" t="str">
        <f>VLOOKUP(B68,Students!$A$1:$E$101,5,0)</f>
        <v>Computer Sci</v>
      </c>
      <c r="J68">
        <f>VLOOKUP(C68,Courses!$A$1:$C$11,3,FALSE)</f>
        <v>4</v>
      </c>
    </row>
    <row r="69" spans="1:10">
      <c r="A69" t="s">
        <v>274</v>
      </c>
      <c r="B69" t="s">
        <v>34</v>
      </c>
      <c r="C69" t="s">
        <v>138</v>
      </c>
      <c r="D69">
        <v>0</v>
      </c>
      <c r="E69" t="s">
        <v>204</v>
      </c>
      <c r="F69" t="str">
        <f>VLOOKUP(B69,Students!$A$1:$C$101,2,FALSE)</f>
        <v>Sneha Patil</v>
      </c>
      <c r="G69" t="str">
        <f>VLOOKUP(B69,Students!$A$1:$C$101,3,FALSE)</f>
        <v>M</v>
      </c>
      <c r="H69" t="str">
        <f>VLOOKUP(C69,Courses!$A$1:$B$11,2,FALSE)</f>
        <v>AI &amp; ML</v>
      </c>
      <c r="I69" t="str">
        <f>VLOOKUP(B69,Students!$A$1:$E$101,5,0)</f>
        <v>Mechanical</v>
      </c>
      <c r="J69">
        <f>VLOOKUP(C69,Courses!$A$1:$C$11,3,FALSE)</f>
        <v>3</v>
      </c>
    </row>
    <row r="70" spans="1:10">
      <c r="A70" t="s">
        <v>275</v>
      </c>
      <c r="B70" t="s">
        <v>99</v>
      </c>
      <c r="C70" t="s">
        <v>130</v>
      </c>
      <c r="D70">
        <v>6</v>
      </c>
      <c r="E70" t="s">
        <v>207</v>
      </c>
      <c r="F70" t="str">
        <f>VLOOKUP(B70,Students!$A$1:$C$101,2,FALSE)</f>
        <v>Raj Mehta</v>
      </c>
      <c r="G70" t="str">
        <f>VLOOKUP(B70,Students!$A$1:$C$101,3,FALSE)</f>
        <v>M</v>
      </c>
      <c r="H70" t="str">
        <f>VLOOKUP(C70,Courses!$A$1:$B$11,2,FALSE)</f>
        <v>Data Structures</v>
      </c>
      <c r="I70" t="str">
        <f>VLOOKUP(B70,Students!$A$1:$E$101,5,0)</f>
        <v>Civil</v>
      </c>
      <c r="J70">
        <f>VLOOKUP(C70,Courses!$A$1:$C$11,3,FALSE)</f>
        <v>3</v>
      </c>
    </row>
    <row r="71" spans="1:10">
      <c r="A71" t="s">
        <v>276</v>
      </c>
      <c r="B71" t="s">
        <v>111</v>
      </c>
      <c r="C71" t="s">
        <v>140</v>
      </c>
      <c r="D71">
        <v>10</v>
      </c>
      <c r="E71" t="s">
        <v>210</v>
      </c>
      <c r="F71" t="str">
        <f>VLOOKUP(B71,Students!$A$1:$C$101,2,FALSE)</f>
        <v>Priya Verma</v>
      </c>
      <c r="G71" t="str">
        <f>VLOOKUP(B71,Students!$A$1:$C$101,3,FALSE)</f>
        <v>M</v>
      </c>
      <c r="H71" t="str">
        <f>VLOOKUP(C71,Courses!$A$1:$B$11,2,FALSE)</f>
        <v>Fluid Mechanics</v>
      </c>
      <c r="I71" t="str">
        <f>VLOOKUP(B71,Students!$A$1:$E$101,5,0)</f>
        <v>Electronics</v>
      </c>
      <c r="J71">
        <f>VLOOKUP(C71,Courses!$A$1:$C$11,3,FALSE)</f>
        <v>4</v>
      </c>
    </row>
    <row r="72" spans="1:10">
      <c r="A72" t="s">
        <v>277</v>
      </c>
      <c r="B72" t="s">
        <v>9</v>
      </c>
      <c r="C72" t="s">
        <v>142</v>
      </c>
      <c r="D72">
        <v>4</v>
      </c>
      <c r="E72" t="s">
        <v>204</v>
      </c>
      <c r="F72" t="str">
        <f>VLOOKUP(B72,Students!$A$1:$C$101,2,FALSE)</f>
        <v>Sneha Patil</v>
      </c>
      <c r="G72" t="str">
        <f>VLOOKUP(B72,Students!$A$1:$C$101,3,FALSE)</f>
        <v>M</v>
      </c>
      <c r="H72" t="str">
        <f>VLOOKUP(C72,Courses!$A$1:$B$11,2,FALSE)</f>
        <v>Digital Logic</v>
      </c>
      <c r="I72" t="str">
        <f>VLOOKUP(B72,Students!$A$1:$E$101,5,0)</f>
        <v>Computer Sci</v>
      </c>
      <c r="J72">
        <f>VLOOKUP(C72,Courses!$A$1:$C$11,3,FALSE)</f>
        <v>3</v>
      </c>
    </row>
    <row r="73" spans="1:10">
      <c r="A73" t="s">
        <v>278</v>
      </c>
      <c r="B73" t="s">
        <v>82</v>
      </c>
      <c r="C73" t="s">
        <v>140</v>
      </c>
      <c r="D73">
        <v>4</v>
      </c>
      <c r="E73" t="s">
        <v>201</v>
      </c>
      <c r="F73" t="str">
        <f>VLOOKUP(B73,Students!$A$1:$C$101,2,FALSE)</f>
        <v>Priya Verma</v>
      </c>
      <c r="G73" t="str">
        <f>VLOOKUP(B73,Students!$A$1:$C$101,3,FALSE)</f>
        <v>M</v>
      </c>
      <c r="H73" t="str">
        <f>VLOOKUP(C73,Courses!$A$1:$B$11,2,FALSE)</f>
        <v>Fluid Mechanics</v>
      </c>
      <c r="I73" t="str">
        <f>VLOOKUP(B73,Students!$A$1:$E$101,5,0)</f>
        <v>Electronics</v>
      </c>
      <c r="J73">
        <f>VLOOKUP(C73,Courses!$A$1:$C$11,3,FALSE)</f>
        <v>4</v>
      </c>
    </row>
    <row r="74" spans="1:10">
      <c r="A74" t="s">
        <v>279</v>
      </c>
      <c r="B74" t="s">
        <v>82</v>
      </c>
      <c r="C74" t="s">
        <v>134</v>
      </c>
      <c r="D74">
        <v>0</v>
      </c>
      <c r="E74" t="s">
        <v>210</v>
      </c>
      <c r="F74" t="str">
        <f>VLOOKUP(B74,Students!$A$1:$C$101,2,FALSE)</f>
        <v>Priya Verma</v>
      </c>
      <c r="G74" t="str">
        <f>VLOOKUP(B74,Students!$A$1:$C$101,3,FALSE)</f>
        <v>M</v>
      </c>
      <c r="H74" t="str">
        <f>VLOOKUP(C74,Courses!$A$1:$B$11,2,FALSE)</f>
        <v>Thermodynamics</v>
      </c>
      <c r="I74" t="str">
        <f>VLOOKUP(B74,Students!$A$1:$E$101,5,0)</f>
        <v>Electronics</v>
      </c>
      <c r="J74">
        <f>VLOOKUP(C74,Courses!$A$1:$C$11,3,FALSE)</f>
        <v>3</v>
      </c>
    </row>
    <row r="75" spans="1:10">
      <c r="A75" t="s">
        <v>280</v>
      </c>
      <c r="B75" t="s">
        <v>105</v>
      </c>
      <c r="C75" t="s">
        <v>146</v>
      </c>
      <c r="D75">
        <v>4</v>
      </c>
      <c r="E75" t="s">
        <v>207</v>
      </c>
      <c r="F75" t="str">
        <f>VLOOKUP(B75,Students!$A$1:$C$101,2,FALSE)</f>
        <v>Raj Mehta</v>
      </c>
      <c r="G75" t="str">
        <f>VLOOKUP(B75,Students!$A$1:$C$101,3,FALSE)</f>
        <v>M</v>
      </c>
      <c r="H75" t="str">
        <f>VLOOKUP(C75,Courses!$A$1:$B$11,2,FALSE)</f>
        <v>Marketing</v>
      </c>
      <c r="I75" t="str">
        <f>VLOOKUP(B75,Students!$A$1:$E$101,5,0)</f>
        <v>Management</v>
      </c>
      <c r="J75">
        <f>VLOOKUP(C75,Courses!$A$1:$C$11,3,FALSE)</f>
        <v>3</v>
      </c>
    </row>
    <row r="76" spans="1:10">
      <c r="A76" t="s">
        <v>281</v>
      </c>
      <c r="B76" t="s">
        <v>82</v>
      </c>
      <c r="C76" t="s">
        <v>148</v>
      </c>
      <c r="D76">
        <v>6</v>
      </c>
      <c r="E76" t="s">
        <v>210</v>
      </c>
      <c r="F76" t="str">
        <f>VLOOKUP(B76,Students!$A$1:$C$101,2,FALSE)</f>
        <v>Priya Verma</v>
      </c>
      <c r="G76" t="str">
        <f>VLOOKUP(B76,Students!$A$1:$C$101,3,FALSE)</f>
        <v>M</v>
      </c>
      <c r="H76" t="str">
        <f>VLOOKUP(C76,Courses!$A$1:$B$11,2,FALSE)</f>
        <v>Finance</v>
      </c>
      <c r="I76" t="str">
        <f>VLOOKUP(B76,Students!$A$1:$E$101,5,0)</f>
        <v>Electronics</v>
      </c>
      <c r="J76">
        <f>VLOOKUP(C76,Courses!$A$1:$C$11,3,FALSE)</f>
        <v>4</v>
      </c>
    </row>
    <row r="77" spans="1:10">
      <c r="A77" t="s">
        <v>282</v>
      </c>
      <c r="B77" t="s">
        <v>56</v>
      </c>
      <c r="C77" t="s">
        <v>132</v>
      </c>
      <c r="D77">
        <v>6</v>
      </c>
      <c r="E77" t="s">
        <v>207</v>
      </c>
      <c r="F77" t="str">
        <f>VLOOKUP(B77,Students!$A$1:$C$101,2,FALSE)</f>
        <v>Sophia Wilson</v>
      </c>
      <c r="G77" t="str">
        <f>VLOOKUP(B77,Students!$A$1:$C$101,3,FALSE)</f>
        <v>M</v>
      </c>
      <c r="H77" t="str">
        <f>VLOOKUP(C77,Courses!$A$1:$B$11,2,FALSE)</f>
        <v>DBMS</v>
      </c>
      <c r="I77" t="str">
        <f>VLOOKUP(B77,Students!$A$1:$E$101,5,0)</f>
        <v>Management</v>
      </c>
      <c r="J77">
        <f>VLOOKUP(C77,Courses!$A$1:$C$11,3,FALSE)</f>
        <v>4</v>
      </c>
    </row>
    <row r="78" spans="1:10">
      <c r="A78" t="s">
        <v>283</v>
      </c>
      <c r="B78" t="s">
        <v>56</v>
      </c>
      <c r="C78" t="s">
        <v>144</v>
      </c>
      <c r="D78">
        <v>0</v>
      </c>
      <c r="E78" t="s">
        <v>207</v>
      </c>
      <c r="F78" t="str">
        <f>VLOOKUP(B78,Students!$A$1:$C$101,2,FALSE)</f>
        <v>Sophia Wilson</v>
      </c>
      <c r="G78" t="str">
        <f>VLOOKUP(B78,Students!$A$1:$C$101,3,FALSE)</f>
        <v>M</v>
      </c>
      <c r="H78" t="str">
        <f>VLOOKUP(C78,Courses!$A$1:$B$11,2,FALSE)</f>
        <v>Structural Analysis</v>
      </c>
      <c r="I78" t="str">
        <f>VLOOKUP(B78,Students!$A$1:$E$101,5,0)</f>
        <v>Management</v>
      </c>
      <c r="J78">
        <f>VLOOKUP(C78,Courses!$A$1:$C$11,3,FALSE)</f>
        <v>4</v>
      </c>
    </row>
    <row r="79" spans="1:10">
      <c r="A79" t="s">
        <v>284</v>
      </c>
      <c r="B79" t="s">
        <v>69</v>
      </c>
      <c r="C79" t="s">
        <v>130</v>
      </c>
      <c r="D79">
        <v>4</v>
      </c>
      <c r="E79" t="s">
        <v>210</v>
      </c>
      <c r="F79" t="str">
        <f>VLOOKUP(B79,Students!$A$1:$C$101,2,FALSE)</f>
        <v>Emily Davis</v>
      </c>
      <c r="G79" t="str">
        <f>VLOOKUP(B79,Students!$A$1:$C$101,3,FALSE)</f>
        <v>M</v>
      </c>
      <c r="H79" t="str">
        <f>VLOOKUP(C79,Courses!$A$1:$B$11,2,FALSE)</f>
        <v>Data Structures</v>
      </c>
      <c r="I79" t="str">
        <f>VLOOKUP(B79,Students!$A$1:$E$101,5,0)</f>
        <v>Management</v>
      </c>
      <c r="J79">
        <f>VLOOKUP(C79,Courses!$A$1:$C$11,3,FALSE)</f>
        <v>3</v>
      </c>
    </row>
    <row r="80" spans="1:10">
      <c r="A80" t="s">
        <v>285</v>
      </c>
      <c r="B80" t="s">
        <v>46</v>
      </c>
      <c r="C80" t="s">
        <v>144</v>
      </c>
      <c r="D80">
        <v>8</v>
      </c>
      <c r="E80" t="s">
        <v>210</v>
      </c>
      <c r="F80" t="str">
        <f>VLOOKUP(B80,Students!$A$1:$C$101,2,FALSE)</f>
        <v>James Clark</v>
      </c>
      <c r="G80" t="str">
        <f>VLOOKUP(B80,Students!$A$1:$C$101,3,FALSE)</f>
        <v>F</v>
      </c>
      <c r="H80" t="str">
        <f>VLOOKUP(C80,Courses!$A$1:$B$11,2,FALSE)</f>
        <v>Structural Analysis</v>
      </c>
      <c r="I80" t="str">
        <f>VLOOKUP(B80,Students!$A$1:$E$101,5,0)</f>
        <v>Civil</v>
      </c>
      <c r="J80">
        <f>VLOOKUP(C80,Courses!$A$1:$C$11,3,FALSE)</f>
        <v>4</v>
      </c>
    </row>
    <row r="81" spans="1:10">
      <c r="A81" t="s">
        <v>286</v>
      </c>
      <c r="B81" t="s">
        <v>58</v>
      </c>
      <c r="C81" t="s">
        <v>140</v>
      </c>
      <c r="D81">
        <v>6</v>
      </c>
      <c r="E81" t="s">
        <v>210</v>
      </c>
      <c r="F81" t="str">
        <f>VLOOKUP(B81,Students!$A$1:$C$101,2,FALSE)</f>
        <v>Robert Taylor</v>
      </c>
      <c r="G81" t="str">
        <f>VLOOKUP(B81,Students!$A$1:$C$101,3,FALSE)</f>
        <v>F</v>
      </c>
      <c r="H81" t="str">
        <f>VLOOKUP(C81,Courses!$A$1:$B$11,2,FALSE)</f>
        <v>Fluid Mechanics</v>
      </c>
      <c r="I81" t="str">
        <f>VLOOKUP(B81,Students!$A$1:$E$101,5,0)</f>
        <v>Civil</v>
      </c>
      <c r="J81">
        <f>VLOOKUP(C81,Courses!$A$1:$C$11,3,FALSE)</f>
        <v>4</v>
      </c>
    </row>
    <row r="82" spans="1:10">
      <c r="A82" t="s">
        <v>287</v>
      </c>
      <c r="B82" t="s">
        <v>98</v>
      </c>
      <c r="C82" t="s">
        <v>130</v>
      </c>
      <c r="D82">
        <v>0</v>
      </c>
      <c r="E82" t="s">
        <v>201</v>
      </c>
      <c r="F82" t="str">
        <f>VLOOKUP(B82,Students!$A$1:$C$101,2,FALSE)</f>
        <v>Emily Davis</v>
      </c>
      <c r="G82" t="str">
        <f>VLOOKUP(B82,Students!$A$1:$C$101,3,FALSE)</f>
        <v>M</v>
      </c>
      <c r="H82" t="str">
        <f>VLOOKUP(C82,Courses!$A$1:$B$11,2,FALSE)</f>
        <v>Data Structures</v>
      </c>
      <c r="I82" t="str">
        <f>VLOOKUP(B82,Students!$A$1:$E$101,5,0)</f>
        <v>Computer Sci</v>
      </c>
      <c r="J82">
        <f>VLOOKUP(C82,Courses!$A$1:$C$11,3,FALSE)</f>
        <v>3</v>
      </c>
    </row>
    <row r="83" spans="1:10">
      <c r="A83" t="s">
        <v>288</v>
      </c>
      <c r="B83" t="s">
        <v>30</v>
      </c>
      <c r="C83" t="s">
        <v>136</v>
      </c>
      <c r="D83">
        <v>4</v>
      </c>
      <c r="E83" t="s">
        <v>207</v>
      </c>
      <c r="F83" t="str">
        <f>VLOOKUP(B83,Students!$A$1:$C$101,2,FALSE)</f>
        <v>Raj Mehta</v>
      </c>
      <c r="G83" t="str">
        <f>VLOOKUP(B83,Students!$A$1:$C$101,3,FALSE)</f>
        <v>F</v>
      </c>
      <c r="H83" t="str">
        <f>VLOOKUP(C83,Courses!$A$1:$B$11,2,FALSE)</f>
        <v>Circuits</v>
      </c>
      <c r="I83" t="str">
        <f>VLOOKUP(B83,Students!$A$1:$E$101,5,0)</f>
        <v>Civil</v>
      </c>
      <c r="J83">
        <f>VLOOKUP(C83,Courses!$A$1:$C$11,3,FALSE)</f>
        <v>4</v>
      </c>
    </row>
    <row r="84" spans="1:10">
      <c r="A84" t="s">
        <v>289</v>
      </c>
      <c r="B84" t="s">
        <v>98</v>
      </c>
      <c r="C84" t="s">
        <v>136</v>
      </c>
      <c r="D84">
        <v>4</v>
      </c>
      <c r="E84" t="s">
        <v>207</v>
      </c>
      <c r="F84" t="str">
        <f>VLOOKUP(B84,Students!$A$1:$C$101,2,FALSE)</f>
        <v>Emily Davis</v>
      </c>
      <c r="G84" t="str">
        <f>VLOOKUP(B84,Students!$A$1:$C$101,3,FALSE)</f>
        <v>M</v>
      </c>
      <c r="H84" t="str">
        <f>VLOOKUP(C84,Courses!$A$1:$B$11,2,FALSE)</f>
        <v>Circuits</v>
      </c>
      <c r="I84" t="str">
        <f>VLOOKUP(B84,Students!$A$1:$E$101,5,0)</f>
        <v>Computer Sci</v>
      </c>
      <c r="J84">
        <f>VLOOKUP(C84,Courses!$A$1:$C$11,3,FALSE)</f>
        <v>4</v>
      </c>
    </row>
    <row r="85" spans="1:10">
      <c r="A85" t="s">
        <v>290</v>
      </c>
      <c r="B85" t="s">
        <v>84</v>
      </c>
      <c r="C85" t="s">
        <v>130</v>
      </c>
      <c r="D85">
        <v>10</v>
      </c>
      <c r="E85" t="s">
        <v>210</v>
      </c>
      <c r="F85" t="str">
        <f>VLOOKUP(B85,Students!$A$1:$C$101,2,FALSE)</f>
        <v>Nisha Gupta</v>
      </c>
      <c r="G85" t="str">
        <f>VLOOKUP(B85,Students!$A$1:$C$101,3,FALSE)</f>
        <v>M</v>
      </c>
      <c r="H85" t="str">
        <f>VLOOKUP(C85,Courses!$A$1:$B$11,2,FALSE)</f>
        <v>Data Structures</v>
      </c>
      <c r="I85" t="str">
        <f>VLOOKUP(B85,Students!$A$1:$E$101,5,0)</f>
        <v>Civil</v>
      </c>
      <c r="J85">
        <f>VLOOKUP(C85,Courses!$A$1:$C$11,3,FALSE)</f>
        <v>3</v>
      </c>
    </row>
    <row r="86" spans="1:10">
      <c r="A86" t="s">
        <v>291</v>
      </c>
      <c r="B86" t="s">
        <v>53</v>
      </c>
      <c r="C86" t="s">
        <v>142</v>
      </c>
      <c r="D86">
        <v>8</v>
      </c>
      <c r="E86" t="s">
        <v>210</v>
      </c>
      <c r="F86" t="str">
        <f>VLOOKUP(B86,Students!$A$1:$C$101,2,FALSE)</f>
        <v>Sophia Wilson</v>
      </c>
      <c r="G86" t="str">
        <f>VLOOKUP(B86,Students!$A$1:$C$101,3,FALSE)</f>
        <v>M</v>
      </c>
      <c r="H86" t="str">
        <f>VLOOKUP(C86,Courses!$A$1:$B$11,2,FALSE)</f>
        <v>Digital Logic</v>
      </c>
      <c r="I86" t="str">
        <f>VLOOKUP(B86,Students!$A$1:$E$101,5,0)</f>
        <v>Mechanical</v>
      </c>
      <c r="J86">
        <f>VLOOKUP(C86,Courses!$A$1:$C$11,3,FALSE)</f>
        <v>3</v>
      </c>
    </row>
    <row r="87" spans="1:10">
      <c r="A87" t="s">
        <v>292</v>
      </c>
      <c r="B87" t="s">
        <v>111</v>
      </c>
      <c r="C87" t="s">
        <v>148</v>
      </c>
      <c r="D87">
        <v>6</v>
      </c>
      <c r="E87" t="s">
        <v>207</v>
      </c>
      <c r="F87" t="str">
        <f>VLOOKUP(B87,Students!$A$1:$C$101,2,FALSE)</f>
        <v>Priya Verma</v>
      </c>
      <c r="G87" t="str">
        <f>VLOOKUP(B87,Students!$A$1:$C$101,3,FALSE)</f>
        <v>M</v>
      </c>
      <c r="H87" t="str">
        <f>VLOOKUP(C87,Courses!$A$1:$B$11,2,FALSE)</f>
        <v>Finance</v>
      </c>
      <c r="I87" t="str">
        <f>VLOOKUP(B87,Students!$A$1:$E$101,5,0)</f>
        <v>Electronics</v>
      </c>
      <c r="J87">
        <f>VLOOKUP(C87,Courses!$A$1:$C$11,3,FALSE)</f>
        <v>4</v>
      </c>
    </row>
    <row r="88" spans="1:10">
      <c r="A88" t="s">
        <v>293</v>
      </c>
      <c r="B88" t="s">
        <v>97</v>
      </c>
      <c r="C88" t="s">
        <v>146</v>
      </c>
      <c r="D88">
        <v>6</v>
      </c>
      <c r="E88" t="s">
        <v>207</v>
      </c>
      <c r="F88" t="str">
        <f>VLOOKUP(B88,Students!$A$1:$C$101,2,FALSE)</f>
        <v>Ankit Sharma</v>
      </c>
      <c r="G88" t="str">
        <f>VLOOKUP(B88,Students!$A$1:$C$101,3,FALSE)</f>
        <v>F</v>
      </c>
      <c r="H88" t="str">
        <f>VLOOKUP(C88,Courses!$A$1:$B$11,2,FALSE)</f>
        <v>Marketing</v>
      </c>
      <c r="I88" t="str">
        <f>VLOOKUP(B88,Students!$A$1:$E$101,5,0)</f>
        <v>Computer Sci</v>
      </c>
      <c r="J88">
        <f>VLOOKUP(C88,Courses!$A$1:$C$11,3,FALSE)</f>
        <v>3</v>
      </c>
    </row>
    <row r="89" spans="1:10">
      <c r="A89" t="s">
        <v>294</v>
      </c>
      <c r="B89" t="s">
        <v>122</v>
      </c>
      <c r="C89" t="s">
        <v>146</v>
      </c>
      <c r="D89">
        <v>6</v>
      </c>
      <c r="E89" t="s">
        <v>210</v>
      </c>
      <c r="F89" t="str">
        <f>VLOOKUP(B89,Students!$A$1:$C$101,2,FALSE)</f>
        <v>James Clark</v>
      </c>
      <c r="G89" t="str">
        <f>VLOOKUP(B89,Students!$A$1:$C$101,3,FALSE)</f>
        <v>F</v>
      </c>
      <c r="H89" t="str">
        <f>VLOOKUP(C89,Courses!$A$1:$B$11,2,FALSE)</f>
        <v>Marketing</v>
      </c>
      <c r="I89" t="str">
        <f>VLOOKUP(B89,Students!$A$1:$E$101,5,0)</f>
        <v>Mechanical</v>
      </c>
      <c r="J89">
        <f>VLOOKUP(C89,Courses!$A$1:$C$11,3,FALSE)</f>
        <v>3</v>
      </c>
    </row>
    <row r="90" spans="1:10">
      <c r="A90" t="s">
        <v>295</v>
      </c>
      <c r="B90" t="s">
        <v>116</v>
      </c>
      <c r="C90" t="s">
        <v>144</v>
      </c>
      <c r="D90">
        <v>6</v>
      </c>
      <c r="E90" t="s">
        <v>210</v>
      </c>
      <c r="F90" t="str">
        <f>VLOOKUP(B90,Students!$A$1:$C$101,2,FALSE)</f>
        <v>Amit Kumar</v>
      </c>
      <c r="G90" t="str">
        <f>VLOOKUP(B90,Students!$A$1:$C$101,3,FALSE)</f>
        <v>M</v>
      </c>
      <c r="H90" t="str">
        <f>VLOOKUP(C90,Courses!$A$1:$B$11,2,FALSE)</f>
        <v>Structural Analysis</v>
      </c>
      <c r="I90" t="str">
        <f>VLOOKUP(B90,Students!$A$1:$E$101,5,0)</f>
        <v>Mechanical</v>
      </c>
      <c r="J90">
        <f>VLOOKUP(C90,Courses!$A$1:$C$11,3,FALSE)</f>
        <v>4</v>
      </c>
    </row>
    <row r="91" spans="1:10">
      <c r="A91" t="s">
        <v>296</v>
      </c>
      <c r="B91" t="s">
        <v>57</v>
      </c>
      <c r="C91" t="s">
        <v>136</v>
      </c>
      <c r="D91">
        <v>10</v>
      </c>
      <c r="E91" t="s">
        <v>201</v>
      </c>
      <c r="F91" t="str">
        <f>VLOOKUP(B91,Students!$A$1:$C$101,2,FALSE)</f>
        <v>Daniel Lee</v>
      </c>
      <c r="G91" t="str">
        <f>VLOOKUP(B91,Students!$A$1:$C$101,3,FALSE)</f>
        <v>F</v>
      </c>
      <c r="H91" t="str">
        <f>VLOOKUP(C91,Courses!$A$1:$B$11,2,FALSE)</f>
        <v>Circuits</v>
      </c>
      <c r="I91" t="str">
        <f>VLOOKUP(B91,Students!$A$1:$E$101,5,0)</f>
        <v>Computer Sci</v>
      </c>
      <c r="J91">
        <f>VLOOKUP(C91,Courses!$A$1:$C$11,3,FALSE)</f>
        <v>4</v>
      </c>
    </row>
    <row r="92" spans="1:10">
      <c r="A92" t="s">
        <v>297</v>
      </c>
      <c r="B92" t="s">
        <v>65</v>
      </c>
      <c r="C92" t="s">
        <v>132</v>
      </c>
      <c r="D92">
        <v>0</v>
      </c>
      <c r="E92" t="s">
        <v>201</v>
      </c>
      <c r="F92" t="str">
        <f>VLOOKUP(B92,Students!$A$1:$C$101,2,FALSE)</f>
        <v>Ankit Sharma</v>
      </c>
      <c r="G92" t="str">
        <f>VLOOKUP(B92,Students!$A$1:$C$101,3,FALSE)</f>
        <v>M</v>
      </c>
      <c r="H92" t="str">
        <f>VLOOKUP(C92,Courses!$A$1:$B$11,2,FALSE)</f>
        <v>DBMS</v>
      </c>
      <c r="I92" t="str">
        <f>VLOOKUP(B92,Students!$A$1:$E$101,5,0)</f>
        <v>Computer Sci</v>
      </c>
      <c r="J92">
        <f>VLOOKUP(C92,Courses!$A$1:$C$11,3,FALSE)</f>
        <v>4</v>
      </c>
    </row>
    <row r="93" spans="1:10">
      <c r="A93" t="s">
        <v>298</v>
      </c>
      <c r="B93" t="s">
        <v>48</v>
      </c>
      <c r="C93" t="s">
        <v>136</v>
      </c>
      <c r="D93">
        <v>4</v>
      </c>
      <c r="E93" t="s">
        <v>210</v>
      </c>
      <c r="F93" t="str">
        <f>VLOOKUP(B93,Students!$A$1:$C$101,2,FALSE)</f>
        <v>Sara Khan</v>
      </c>
      <c r="G93" t="str">
        <f>VLOOKUP(B93,Students!$A$1:$C$101,3,FALSE)</f>
        <v>F</v>
      </c>
      <c r="H93" t="str">
        <f>VLOOKUP(C93,Courses!$A$1:$B$11,2,FALSE)</f>
        <v>Circuits</v>
      </c>
      <c r="I93" t="str">
        <f>VLOOKUP(B93,Students!$A$1:$E$101,5,0)</f>
        <v>Electronics</v>
      </c>
      <c r="J93">
        <f>VLOOKUP(C93,Courses!$A$1:$C$11,3,FALSE)</f>
        <v>4</v>
      </c>
    </row>
    <row r="94" spans="1:10">
      <c r="A94" t="s">
        <v>299</v>
      </c>
      <c r="B94" t="s">
        <v>119</v>
      </c>
      <c r="C94" t="s">
        <v>148</v>
      </c>
      <c r="D94">
        <v>0</v>
      </c>
      <c r="E94" t="s">
        <v>210</v>
      </c>
      <c r="F94" t="str">
        <f>VLOOKUP(B94,Students!$A$1:$C$101,2,FALSE)</f>
        <v>Emily Davis</v>
      </c>
      <c r="G94" t="str">
        <f>VLOOKUP(B94,Students!$A$1:$C$101,3,FALSE)</f>
        <v>M</v>
      </c>
      <c r="H94" t="str">
        <f>VLOOKUP(C94,Courses!$A$1:$B$11,2,FALSE)</f>
        <v>Finance</v>
      </c>
      <c r="I94" t="str">
        <f>VLOOKUP(B94,Students!$A$1:$E$101,5,0)</f>
        <v>Management</v>
      </c>
      <c r="J94">
        <f>VLOOKUP(C94,Courses!$A$1:$C$11,3,FALSE)</f>
        <v>4</v>
      </c>
    </row>
    <row r="95" spans="1:10">
      <c r="A95" t="s">
        <v>300</v>
      </c>
      <c r="B95" t="s">
        <v>33</v>
      </c>
      <c r="C95" t="s">
        <v>136</v>
      </c>
      <c r="D95">
        <v>6</v>
      </c>
      <c r="E95" t="s">
        <v>201</v>
      </c>
      <c r="F95" t="str">
        <f>VLOOKUP(B95,Students!$A$1:$C$101,2,FALSE)</f>
        <v>Emily Davis</v>
      </c>
      <c r="G95" t="str">
        <f>VLOOKUP(B95,Students!$A$1:$C$101,3,FALSE)</f>
        <v>F</v>
      </c>
      <c r="H95" t="str">
        <f>VLOOKUP(C95,Courses!$A$1:$B$11,2,FALSE)</f>
        <v>Circuits</v>
      </c>
      <c r="I95" t="str">
        <f>VLOOKUP(B95,Students!$A$1:$E$101,5,0)</f>
        <v>Management</v>
      </c>
      <c r="J95">
        <f>VLOOKUP(C95,Courses!$A$1:$C$11,3,FALSE)</f>
        <v>4</v>
      </c>
    </row>
    <row r="96" spans="1:10">
      <c r="A96" t="s">
        <v>301</v>
      </c>
      <c r="B96" t="s">
        <v>72</v>
      </c>
      <c r="C96" t="s">
        <v>134</v>
      </c>
      <c r="D96">
        <v>6</v>
      </c>
      <c r="E96" t="s">
        <v>204</v>
      </c>
      <c r="F96" t="str">
        <f>VLOOKUP(B96,Students!$A$1:$C$101,2,FALSE)</f>
        <v>Nisha Gupta</v>
      </c>
      <c r="G96" t="str">
        <f>VLOOKUP(B96,Students!$A$1:$C$101,3,FALSE)</f>
        <v>F</v>
      </c>
      <c r="H96" t="str">
        <f>VLOOKUP(C96,Courses!$A$1:$B$11,2,FALSE)</f>
        <v>Thermodynamics</v>
      </c>
      <c r="I96" t="str">
        <f>VLOOKUP(B96,Students!$A$1:$E$101,5,0)</f>
        <v>Management</v>
      </c>
      <c r="J96">
        <f>VLOOKUP(C96,Courses!$A$1:$C$11,3,FALSE)</f>
        <v>3</v>
      </c>
    </row>
    <row r="97" spans="1:10">
      <c r="A97" t="s">
        <v>302</v>
      </c>
      <c r="B97" t="s">
        <v>117</v>
      </c>
      <c r="C97" t="s">
        <v>146</v>
      </c>
      <c r="D97">
        <v>8</v>
      </c>
      <c r="E97" t="s">
        <v>210</v>
      </c>
      <c r="F97" t="str">
        <f>VLOOKUP(B97,Students!$A$1:$C$101,2,FALSE)</f>
        <v>Chris Evans</v>
      </c>
      <c r="G97" t="str">
        <f>VLOOKUP(B97,Students!$A$1:$C$101,3,FALSE)</f>
        <v>F</v>
      </c>
      <c r="H97" t="str">
        <f>VLOOKUP(C97,Courses!$A$1:$B$11,2,FALSE)</f>
        <v>Marketing</v>
      </c>
      <c r="I97" t="str">
        <f>VLOOKUP(B97,Students!$A$1:$E$101,5,0)</f>
        <v>Management</v>
      </c>
      <c r="J97">
        <f>VLOOKUP(C97,Courses!$A$1:$C$11,3,FALSE)</f>
        <v>3</v>
      </c>
    </row>
    <row r="98" spans="1:10">
      <c r="A98" t="s">
        <v>303</v>
      </c>
      <c r="B98" t="s">
        <v>19</v>
      </c>
      <c r="C98" t="s">
        <v>130</v>
      </c>
      <c r="D98">
        <v>0</v>
      </c>
      <c r="E98" t="s">
        <v>210</v>
      </c>
      <c r="F98" t="str">
        <f>VLOOKUP(B98,Students!$A$1:$C$101,2,FALSE)</f>
        <v>Sara Khan</v>
      </c>
      <c r="G98" t="str">
        <f>VLOOKUP(B98,Students!$A$1:$C$101,3,FALSE)</f>
        <v>M</v>
      </c>
      <c r="H98" t="str">
        <f>VLOOKUP(C98,Courses!$A$1:$B$11,2,FALSE)</f>
        <v>Data Structures</v>
      </c>
      <c r="I98" t="str">
        <f>VLOOKUP(B98,Students!$A$1:$E$101,5,0)</f>
        <v>Management</v>
      </c>
      <c r="J98">
        <f>VLOOKUP(C98,Courses!$A$1:$C$11,3,FALSE)</f>
        <v>3</v>
      </c>
    </row>
    <row r="99" spans="1:10">
      <c r="A99" t="s">
        <v>304</v>
      </c>
      <c r="B99" t="s">
        <v>116</v>
      </c>
      <c r="C99" t="s">
        <v>134</v>
      </c>
      <c r="D99">
        <v>4</v>
      </c>
      <c r="E99" t="s">
        <v>204</v>
      </c>
      <c r="F99" t="str">
        <f>VLOOKUP(B99,Students!$A$1:$C$101,2,FALSE)</f>
        <v>Amit Kumar</v>
      </c>
      <c r="G99" t="str">
        <f>VLOOKUP(B99,Students!$A$1:$C$101,3,FALSE)</f>
        <v>M</v>
      </c>
      <c r="H99" t="str">
        <f>VLOOKUP(C99,Courses!$A$1:$B$11,2,FALSE)</f>
        <v>Thermodynamics</v>
      </c>
      <c r="I99" t="str">
        <f>VLOOKUP(B99,Students!$A$1:$E$101,5,0)</f>
        <v>Mechanical</v>
      </c>
      <c r="J99">
        <f>VLOOKUP(C99,Courses!$A$1:$C$11,3,FALSE)</f>
        <v>3</v>
      </c>
    </row>
    <row r="100" spans="1:10">
      <c r="A100" t="s">
        <v>305</v>
      </c>
      <c r="B100" t="s">
        <v>9</v>
      </c>
      <c r="C100" t="s">
        <v>148</v>
      </c>
      <c r="D100">
        <v>6</v>
      </c>
      <c r="E100" t="s">
        <v>207</v>
      </c>
      <c r="F100" t="str">
        <f>VLOOKUP(B100,Students!$A$1:$C$101,2,FALSE)</f>
        <v>Sneha Patil</v>
      </c>
      <c r="G100" t="str">
        <f>VLOOKUP(B100,Students!$A$1:$C$101,3,FALSE)</f>
        <v>M</v>
      </c>
      <c r="H100" t="str">
        <f>VLOOKUP(C100,Courses!$A$1:$B$11,2,FALSE)</f>
        <v>Finance</v>
      </c>
      <c r="I100" t="str">
        <f>VLOOKUP(B100,Students!$A$1:$E$101,5,0)</f>
        <v>Computer Sci</v>
      </c>
      <c r="J100">
        <f>VLOOKUP(C100,Courses!$A$1:$C$11,3,FALSE)</f>
        <v>4</v>
      </c>
    </row>
    <row r="101" spans="1:10">
      <c r="A101" t="s">
        <v>306</v>
      </c>
      <c r="B101" t="s">
        <v>88</v>
      </c>
      <c r="C101" t="s">
        <v>144</v>
      </c>
      <c r="D101">
        <v>6</v>
      </c>
      <c r="E101" t="s">
        <v>201</v>
      </c>
      <c r="F101" t="str">
        <f>VLOOKUP(B101,Students!$A$1:$C$101,2,FALSE)</f>
        <v>Sneha Patil</v>
      </c>
      <c r="G101" t="str">
        <f>VLOOKUP(B101,Students!$A$1:$C$101,3,FALSE)</f>
        <v>M</v>
      </c>
      <c r="H101" t="str">
        <f>VLOOKUP(C101,Courses!$A$1:$B$11,2,FALSE)</f>
        <v>Structural Analysis</v>
      </c>
      <c r="I101" t="str">
        <f>VLOOKUP(B101,Students!$A$1:$E$101,5,0)</f>
        <v>Management</v>
      </c>
      <c r="J101">
        <f>VLOOKUP(C101,Courses!$A$1:$C$11,3,FALSE)</f>
        <v>4</v>
      </c>
    </row>
    <row r="102" spans="1:10">
      <c r="A102" t="s">
        <v>307</v>
      </c>
      <c r="B102" t="s">
        <v>21</v>
      </c>
      <c r="C102" t="s">
        <v>138</v>
      </c>
      <c r="D102">
        <v>4</v>
      </c>
      <c r="E102" t="s">
        <v>204</v>
      </c>
      <c r="F102" t="str">
        <f>VLOOKUP(B102,Students!$A$1:$C$101,2,FALSE)</f>
        <v>Robert Taylor</v>
      </c>
      <c r="G102" t="str">
        <f>VLOOKUP(B102,Students!$A$1:$C$101,3,FALSE)</f>
        <v>M</v>
      </c>
      <c r="H102" t="str">
        <f>VLOOKUP(C102,Courses!$A$1:$B$11,2,FALSE)</f>
        <v>AI &amp; ML</v>
      </c>
      <c r="I102" t="str">
        <f>VLOOKUP(B102,Students!$A$1:$E$101,5,0)</f>
        <v>Civil</v>
      </c>
      <c r="J102">
        <f>VLOOKUP(C102,Courses!$A$1:$C$11,3,FALSE)</f>
        <v>3</v>
      </c>
    </row>
    <row r="103" spans="1:10">
      <c r="A103" t="s">
        <v>308</v>
      </c>
      <c r="B103" t="s">
        <v>27</v>
      </c>
      <c r="C103" t="s">
        <v>142</v>
      </c>
      <c r="D103">
        <v>4</v>
      </c>
      <c r="E103" t="s">
        <v>204</v>
      </c>
      <c r="F103" t="str">
        <f>VLOOKUP(B103,Students!$A$1:$C$101,2,FALSE)</f>
        <v>Daniel Lee</v>
      </c>
      <c r="G103" t="str">
        <f>VLOOKUP(B103,Students!$A$1:$C$101,3,FALSE)</f>
        <v>F</v>
      </c>
      <c r="H103" t="str">
        <f>VLOOKUP(C103,Courses!$A$1:$B$11,2,FALSE)</f>
        <v>Digital Logic</v>
      </c>
      <c r="I103" t="str">
        <f>VLOOKUP(B103,Students!$A$1:$E$101,5,0)</f>
        <v>Computer Sci</v>
      </c>
      <c r="J103">
        <f>VLOOKUP(C103,Courses!$A$1:$C$11,3,FALSE)</f>
        <v>3</v>
      </c>
    </row>
    <row r="104" spans="1:10">
      <c r="A104" t="s">
        <v>309</v>
      </c>
      <c r="B104" t="s">
        <v>100</v>
      </c>
      <c r="C104" t="s">
        <v>130</v>
      </c>
      <c r="D104">
        <v>8</v>
      </c>
      <c r="E104" t="s">
        <v>201</v>
      </c>
      <c r="F104" t="str">
        <f>VLOOKUP(B104,Students!$A$1:$C$101,2,FALSE)</f>
        <v>Priya Verma</v>
      </c>
      <c r="G104" t="str">
        <f>VLOOKUP(B104,Students!$A$1:$C$101,3,FALSE)</f>
        <v>M</v>
      </c>
      <c r="H104" t="str">
        <f>VLOOKUP(C104,Courses!$A$1:$B$11,2,FALSE)</f>
        <v>Data Structures</v>
      </c>
      <c r="I104" t="str">
        <f>VLOOKUP(B104,Students!$A$1:$E$101,5,0)</f>
        <v>Management</v>
      </c>
      <c r="J104">
        <f>VLOOKUP(C104,Courses!$A$1:$C$11,3,FALSE)</f>
        <v>3</v>
      </c>
    </row>
    <row r="105" spans="1:10">
      <c r="A105" t="s">
        <v>310</v>
      </c>
      <c r="B105" t="s">
        <v>99</v>
      </c>
      <c r="C105" t="s">
        <v>138</v>
      </c>
      <c r="D105">
        <v>10</v>
      </c>
      <c r="E105" t="s">
        <v>201</v>
      </c>
      <c r="F105" t="str">
        <f>VLOOKUP(B105,Students!$A$1:$C$101,2,FALSE)</f>
        <v>Raj Mehta</v>
      </c>
      <c r="G105" t="str">
        <f>VLOOKUP(B105,Students!$A$1:$C$101,3,FALSE)</f>
        <v>M</v>
      </c>
      <c r="H105" t="str">
        <f>VLOOKUP(C105,Courses!$A$1:$B$11,2,FALSE)</f>
        <v>AI &amp; ML</v>
      </c>
      <c r="I105" t="str">
        <f>VLOOKUP(B105,Students!$A$1:$E$101,5,0)</f>
        <v>Civil</v>
      </c>
      <c r="J105">
        <f>VLOOKUP(C105,Courses!$A$1:$C$11,3,FALSE)</f>
        <v>3</v>
      </c>
    </row>
    <row r="106" spans="1:10">
      <c r="A106" t="s">
        <v>311</v>
      </c>
      <c r="B106" t="s">
        <v>36</v>
      </c>
      <c r="C106" t="s">
        <v>146</v>
      </c>
      <c r="D106">
        <v>4</v>
      </c>
      <c r="E106" t="s">
        <v>201</v>
      </c>
      <c r="F106" t="str">
        <f>VLOOKUP(B106,Students!$A$1:$C$101,2,FALSE)</f>
        <v>Sophia Wilson</v>
      </c>
      <c r="G106" t="str">
        <f>VLOOKUP(B106,Students!$A$1:$C$101,3,FALSE)</f>
        <v>M</v>
      </c>
      <c r="H106" t="str">
        <f>VLOOKUP(C106,Courses!$A$1:$B$11,2,FALSE)</f>
        <v>Marketing</v>
      </c>
      <c r="I106" t="str">
        <f>VLOOKUP(B106,Students!$A$1:$E$101,5,0)</f>
        <v>Electronics</v>
      </c>
      <c r="J106">
        <f>VLOOKUP(C106,Courses!$A$1:$C$11,3,FALSE)</f>
        <v>3</v>
      </c>
    </row>
    <row r="107" spans="1:10">
      <c r="A107" t="s">
        <v>312</v>
      </c>
      <c r="B107" t="s">
        <v>126</v>
      </c>
      <c r="C107" t="s">
        <v>146</v>
      </c>
      <c r="D107">
        <v>4</v>
      </c>
      <c r="E107" t="s">
        <v>207</v>
      </c>
      <c r="F107" t="str">
        <f>VLOOKUP(B107,Students!$A$1:$C$101,2,FALSE)</f>
        <v>Ankit Sharma</v>
      </c>
      <c r="G107" t="str">
        <f>VLOOKUP(B107,Students!$A$1:$C$101,3,FALSE)</f>
        <v>M</v>
      </c>
      <c r="H107" t="str">
        <f>VLOOKUP(C107,Courses!$A$1:$B$11,2,FALSE)</f>
        <v>Marketing</v>
      </c>
      <c r="I107" t="str">
        <f>VLOOKUP(B107,Students!$A$1:$E$101,5,0)</f>
        <v>Civil</v>
      </c>
      <c r="J107">
        <f>VLOOKUP(C107,Courses!$A$1:$C$11,3,FALSE)</f>
        <v>3</v>
      </c>
    </row>
    <row r="108" spans="1:10">
      <c r="A108" t="s">
        <v>313</v>
      </c>
      <c r="B108" t="s">
        <v>83</v>
      </c>
      <c r="C108" t="s">
        <v>138</v>
      </c>
      <c r="D108">
        <v>0</v>
      </c>
      <c r="E108" t="s">
        <v>207</v>
      </c>
      <c r="F108" t="str">
        <f>VLOOKUP(B108,Students!$A$1:$C$101,2,FALSE)</f>
        <v>Sara Khan</v>
      </c>
      <c r="G108" t="str">
        <f>VLOOKUP(B108,Students!$A$1:$C$101,3,FALSE)</f>
        <v>F</v>
      </c>
      <c r="H108" t="str">
        <f>VLOOKUP(C108,Courses!$A$1:$B$11,2,FALSE)</f>
        <v>AI &amp; ML</v>
      </c>
      <c r="I108" t="str">
        <f>VLOOKUP(B108,Students!$A$1:$E$101,5,0)</f>
        <v>Computer Sci</v>
      </c>
      <c r="J108">
        <f>VLOOKUP(C108,Courses!$A$1:$C$11,3,FALSE)</f>
        <v>3</v>
      </c>
    </row>
    <row r="109" spans="1:10">
      <c r="A109" t="s">
        <v>314</v>
      </c>
      <c r="B109" t="s">
        <v>64</v>
      </c>
      <c r="C109" t="s">
        <v>148</v>
      </c>
      <c r="D109">
        <v>0</v>
      </c>
      <c r="E109" t="s">
        <v>204</v>
      </c>
      <c r="F109" t="str">
        <f>VLOOKUP(B109,Students!$A$1:$C$101,2,FALSE)</f>
        <v>James Clark</v>
      </c>
      <c r="G109" t="str">
        <f>VLOOKUP(B109,Students!$A$1:$C$101,3,FALSE)</f>
        <v>F</v>
      </c>
      <c r="H109" t="str">
        <f>VLOOKUP(C109,Courses!$A$1:$B$11,2,FALSE)</f>
        <v>Finance</v>
      </c>
      <c r="I109" t="str">
        <f>VLOOKUP(B109,Students!$A$1:$E$101,5,0)</f>
        <v>Mechanical</v>
      </c>
      <c r="J109">
        <f>VLOOKUP(C109,Courses!$A$1:$C$11,3,FALSE)</f>
        <v>4</v>
      </c>
    </row>
    <row r="110" spans="1:10">
      <c r="A110" t="s">
        <v>315</v>
      </c>
      <c r="B110" t="s">
        <v>105</v>
      </c>
      <c r="C110" t="s">
        <v>132</v>
      </c>
      <c r="D110">
        <v>8</v>
      </c>
      <c r="E110" t="s">
        <v>201</v>
      </c>
      <c r="F110" t="str">
        <f>VLOOKUP(B110,Students!$A$1:$C$101,2,FALSE)</f>
        <v>Raj Mehta</v>
      </c>
      <c r="G110" t="str">
        <f>VLOOKUP(B110,Students!$A$1:$C$101,3,FALSE)</f>
        <v>M</v>
      </c>
      <c r="H110" t="str">
        <f>VLOOKUP(C110,Courses!$A$1:$B$11,2,FALSE)</f>
        <v>DBMS</v>
      </c>
      <c r="I110" t="str">
        <f>VLOOKUP(B110,Students!$A$1:$E$101,5,0)</f>
        <v>Management</v>
      </c>
      <c r="J110">
        <f>VLOOKUP(C110,Courses!$A$1:$C$11,3,FALSE)</f>
        <v>4</v>
      </c>
    </row>
    <row r="111" spans="1:10">
      <c r="A111" t="s">
        <v>316</v>
      </c>
      <c r="B111" t="s">
        <v>58</v>
      </c>
      <c r="C111" t="s">
        <v>132</v>
      </c>
      <c r="D111">
        <v>8</v>
      </c>
      <c r="E111" t="s">
        <v>201</v>
      </c>
      <c r="F111" t="str">
        <f>VLOOKUP(B111,Students!$A$1:$C$101,2,FALSE)</f>
        <v>Robert Taylor</v>
      </c>
      <c r="G111" t="str">
        <f>VLOOKUP(B111,Students!$A$1:$C$101,3,FALSE)</f>
        <v>F</v>
      </c>
      <c r="H111" t="str">
        <f>VLOOKUP(C111,Courses!$A$1:$B$11,2,FALSE)</f>
        <v>DBMS</v>
      </c>
      <c r="I111" t="str">
        <f>VLOOKUP(B111,Students!$A$1:$E$101,5,0)</f>
        <v>Civil</v>
      </c>
      <c r="J111">
        <f>VLOOKUP(C111,Courses!$A$1:$C$11,3,FALSE)</f>
        <v>4</v>
      </c>
    </row>
    <row r="112" spans="1:10">
      <c r="A112" t="s">
        <v>317</v>
      </c>
      <c r="B112" t="s">
        <v>45</v>
      </c>
      <c r="C112" t="s">
        <v>146</v>
      </c>
      <c r="D112">
        <v>10</v>
      </c>
      <c r="E112" t="s">
        <v>201</v>
      </c>
      <c r="F112" t="str">
        <f>VLOOKUP(B112,Students!$A$1:$C$101,2,FALSE)</f>
        <v>Robert Taylor</v>
      </c>
      <c r="G112" t="str">
        <f>VLOOKUP(B112,Students!$A$1:$C$101,3,FALSE)</f>
        <v>M</v>
      </c>
      <c r="H112" t="str">
        <f>VLOOKUP(C112,Courses!$A$1:$B$11,2,FALSE)</f>
        <v>Marketing</v>
      </c>
      <c r="I112" t="str">
        <f>VLOOKUP(B112,Students!$A$1:$E$101,5,0)</f>
        <v>Management</v>
      </c>
      <c r="J112">
        <f>VLOOKUP(C112,Courses!$A$1:$C$11,3,FALSE)</f>
        <v>3</v>
      </c>
    </row>
    <row r="113" spans="1:10">
      <c r="A113" t="s">
        <v>318</v>
      </c>
      <c r="B113" t="s">
        <v>5</v>
      </c>
      <c r="C113" t="s">
        <v>142</v>
      </c>
      <c r="D113">
        <v>4</v>
      </c>
      <c r="E113" t="s">
        <v>207</v>
      </c>
      <c r="F113" t="str">
        <f>VLOOKUP(B113,Students!$A$1:$C$101,2,FALSE)</f>
        <v>Nisha Gupta</v>
      </c>
      <c r="G113" t="str">
        <f>VLOOKUP(B113,Students!$A$1:$C$101,3,FALSE)</f>
        <v>M</v>
      </c>
      <c r="H113" t="str">
        <f>VLOOKUP(C113,Courses!$A$1:$B$11,2,FALSE)</f>
        <v>Digital Logic</v>
      </c>
      <c r="I113" t="str">
        <f>VLOOKUP(B113,Students!$A$1:$E$101,5,0)</f>
        <v>Electronics</v>
      </c>
      <c r="J113">
        <f>VLOOKUP(C113,Courses!$A$1:$C$11,3,FALSE)</f>
        <v>3</v>
      </c>
    </row>
    <row r="114" spans="1:10">
      <c r="A114" t="s">
        <v>319</v>
      </c>
      <c r="B114" t="s">
        <v>62</v>
      </c>
      <c r="C114" t="s">
        <v>130</v>
      </c>
      <c r="D114">
        <v>8</v>
      </c>
      <c r="E114" t="s">
        <v>210</v>
      </c>
      <c r="F114" t="str">
        <f>VLOOKUP(B114,Students!$A$1:$C$101,2,FALSE)</f>
        <v>Daniel Lee</v>
      </c>
      <c r="G114" t="str">
        <f>VLOOKUP(B114,Students!$A$1:$C$101,3,FALSE)</f>
        <v>M</v>
      </c>
      <c r="H114" t="str">
        <f>VLOOKUP(C114,Courses!$A$1:$B$11,2,FALSE)</f>
        <v>Data Structures</v>
      </c>
      <c r="I114" t="str">
        <f>VLOOKUP(B114,Students!$A$1:$E$101,5,0)</f>
        <v>Management</v>
      </c>
      <c r="J114">
        <f>VLOOKUP(C114,Courses!$A$1:$C$11,3,FALSE)</f>
        <v>3</v>
      </c>
    </row>
    <row r="115" spans="1:10">
      <c r="A115" t="s">
        <v>320</v>
      </c>
      <c r="B115" t="s">
        <v>117</v>
      </c>
      <c r="C115" t="s">
        <v>138</v>
      </c>
      <c r="D115">
        <v>4</v>
      </c>
      <c r="E115" t="s">
        <v>204</v>
      </c>
      <c r="F115" t="str">
        <f>VLOOKUP(B115,Students!$A$1:$C$101,2,FALSE)</f>
        <v>Chris Evans</v>
      </c>
      <c r="G115" t="str">
        <f>VLOOKUP(B115,Students!$A$1:$C$101,3,FALSE)</f>
        <v>F</v>
      </c>
      <c r="H115" t="str">
        <f>VLOOKUP(C115,Courses!$A$1:$B$11,2,FALSE)</f>
        <v>AI &amp; ML</v>
      </c>
      <c r="I115" t="str">
        <f>VLOOKUP(B115,Students!$A$1:$E$101,5,0)</f>
        <v>Management</v>
      </c>
      <c r="J115">
        <f>VLOOKUP(C115,Courses!$A$1:$C$11,3,FALSE)</f>
        <v>3</v>
      </c>
    </row>
    <row r="116" spans="1:10">
      <c r="A116" t="s">
        <v>321</v>
      </c>
      <c r="B116" t="s">
        <v>114</v>
      </c>
      <c r="C116" t="s">
        <v>136</v>
      </c>
      <c r="D116">
        <v>6</v>
      </c>
      <c r="E116" t="s">
        <v>201</v>
      </c>
      <c r="F116" t="str">
        <f>VLOOKUP(B116,Students!$A$1:$C$101,2,FALSE)</f>
        <v>James Clark</v>
      </c>
      <c r="G116" t="str">
        <f>VLOOKUP(B116,Students!$A$1:$C$101,3,FALSE)</f>
        <v>M</v>
      </c>
      <c r="H116" t="str">
        <f>VLOOKUP(C116,Courses!$A$1:$B$11,2,FALSE)</f>
        <v>Circuits</v>
      </c>
      <c r="I116" t="str">
        <f>VLOOKUP(B116,Students!$A$1:$E$101,5,0)</f>
        <v>Civil</v>
      </c>
      <c r="J116">
        <f>VLOOKUP(C116,Courses!$A$1:$C$11,3,FALSE)</f>
        <v>4</v>
      </c>
    </row>
    <row r="117" spans="1:10">
      <c r="A117" t="s">
        <v>322</v>
      </c>
      <c r="B117" t="s">
        <v>81</v>
      </c>
      <c r="C117" t="s">
        <v>132</v>
      </c>
      <c r="D117">
        <v>0</v>
      </c>
      <c r="E117" t="s">
        <v>201</v>
      </c>
      <c r="F117" t="str">
        <f>VLOOKUP(B117,Students!$A$1:$C$101,2,FALSE)</f>
        <v>Daniel Lee</v>
      </c>
      <c r="G117" t="str">
        <f>VLOOKUP(B117,Students!$A$1:$C$101,3,FALSE)</f>
        <v>F</v>
      </c>
      <c r="H117" t="str">
        <f>VLOOKUP(C117,Courses!$A$1:$B$11,2,FALSE)</f>
        <v>DBMS</v>
      </c>
      <c r="I117" t="str">
        <f>VLOOKUP(B117,Students!$A$1:$E$101,5,0)</f>
        <v>Mechanical</v>
      </c>
      <c r="J117">
        <f>VLOOKUP(C117,Courses!$A$1:$C$11,3,FALSE)</f>
        <v>4</v>
      </c>
    </row>
    <row r="118" spans="1:10">
      <c r="A118" t="s">
        <v>323</v>
      </c>
      <c r="B118" t="s">
        <v>109</v>
      </c>
      <c r="C118" t="s">
        <v>134</v>
      </c>
      <c r="D118">
        <v>6</v>
      </c>
      <c r="E118" t="s">
        <v>201</v>
      </c>
      <c r="F118" t="str">
        <f>VLOOKUP(B118,Students!$A$1:$C$101,2,FALSE)</f>
        <v>Chris Evans</v>
      </c>
      <c r="G118" t="str">
        <f>VLOOKUP(B118,Students!$A$1:$C$101,3,FALSE)</f>
        <v>F</v>
      </c>
      <c r="H118" t="str">
        <f>VLOOKUP(C118,Courses!$A$1:$B$11,2,FALSE)</f>
        <v>Thermodynamics</v>
      </c>
      <c r="I118" t="str">
        <f>VLOOKUP(B118,Students!$A$1:$E$101,5,0)</f>
        <v>Management</v>
      </c>
      <c r="J118">
        <f>VLOOKUP(C118,Courses!$A$1:$C$11,3,FALSE)</f>
        <v>3</v>
      </c>
    </row>
    <row r="119" spans="1:10">
      <c r="A119" t="s">
        <v>324</v>
      </c>
      <c r="B119" t="s">
        <v>29</v>
      </c>
      <c r="C119" t="s">
        <v>130</v>
      </c>
      <c r="D119">
        <v>8</v>
      </c>
      <c r="E119" t="s">
        <v>210</v>
      </c>
      <c r="F119" t="str">
        <f>VLOOKUP(B119,Students!$A$1:$C$101,2,FALSE)</f>
        <v>Sara Khan</v>
      </c>
      <c r="G119" t="str">
        <f>VLOOKUP(B119,Students!$A$1:$C$101,3,FALSE)</f>
        <v>M</v>
      </c>
      <c r="H119" t="str">
        <f>VLOOKUP(C119,Courses!$A$1:$B$11,2,FALSE)</f>
        <v>Data Structures</v>
      </c>
      <c r="I119" t="str">
        <f>VLOOKUP(B119,Students!$A$1:$E$101,5,0)</f>
        <v>Electronics</v>
      </c>
      <c r="J119">
        <f>VLOOKUP(C119,Courses!$A$1:$C$11,3,FALSE)</f>
        <v>3</v>
      </c>
    </row>
    <row r="120" spans="1:10">
      <c r="A120" t="s">
        <v>325</v>
      </c>
      <c r="B120" t="s">
        <v>103</v>
      </c>
      <c r="C120" t="s">
        <v>148</v>
      </c>
      <c r="D120">
        <v>6</v>
      </c>
      <c r="E120" t="s">
        <v>207</v>
      </c>
      <c r="F120" t="str">
        <f>VLOOKUP(B120,Students!$A$1:$C$101,2,FALSE)</f>
        <v>Sara Khan</v>
      </c>
      <c r="G120" t="str">
        <f>VLOOKUP(B120,Students!$A$1:$C$101,3,FALSE)</f>
        <v>M</v>
      </c>
      <c r="H120" t="str">
        <f>VLOOKUP(C120,Courses!$A$1:$B$11,2,FALSE)</f>
        <v>Finance</v>
      </c>
      <c r="I120" t="str">
        <f>VLOOKUP(B120,Students!$A$1:$E$101,5,0)</f>
        <v>Civil</v>
      </c>
      <c r="J120">
        <f>VLOOKUP(C120,Courses!$A$1:$C$11,3,FALSE)</f>
        <v>4</v>
      </c>
    </row>
    <row r="121" spans="1:10">
      <c r="A121" t="s">
        <v>326</v>
      </c>
      <c r="B121" t="s">
        <v>36</v>
      </c>
      <c r="C121" t="s">
        <v>144</v>
      </c>
      <c r="D121">
        <v>6</v>
      </c>
      <c r="E121" t="s">
        <v>207</v>
      </c>
      <c r="F121" t="str">
        <f>VLOOKUP(B121,Students!$A$1:$C$101,2,FALSE)</f>
        <v>Sophia Wilson</v>
      </c>
      <c r="G121" t="str">
        <f>VLOOKUP(B121,Students!$A$1:$C$101,3,FALSE)</f>
        <v>M</v>
      </c>
      <c r="H121" t="str">
        <f>VLOOKUP(C121,Courses!$A$1:$B$11,2,FALSE)</f>
        <v>Structural Analysis</v>
      </c>
      <c r="I121" t="str">
        <f>VLOOKUP(B121,Students!$A$1:$E$101,5,0)</f>
        <v>Electronics</v>
      </c>
      <c r="J121">
        <f>VLOOKUP(C121,Courses!$A$1:$C$11,3,FALSE)</f>
        <v>4</v>
      </c>
    </row>
    <row r="122" spans="1:10">
      <c r="A122" t="s">
        <v>327</v>
      </c>
      <c r="B122" t="s">
        <v>59</v>
      </c>
      <c r="C122" t="s">
        <v>146</v>
      </c>
      <c r="D122">
        <v>0</v>
      </c>
      <c r="E122" t="s">
        <v>207</v>
      </c>
      <c r="F122" t="str">
        <f>VLOOKUP(B122,Students!$A$1:$C$101,2,FALSE)</f>
        <v>Ankit Sharma</v>
      </c>
      <c r="G122" t="str">
        <f>VLOOKUP(B122,Students!$A$1:$C$101,3,FALSE)</f>
        <v>F</v>
      </c>
      <c r="H122" t="str">
        <f>VLOOKUP(C122,Courses!$A$1:$B$11,2,FALSE)</f>
        <v>Marketing</v>
      </c>
      <c r="I122" t="str">
        <f>VLOOKUP(B122,Students!$A$1:$E$101,5,0)</f>
        <v>Management</v>
      </c>
      <c r="J122">
        <f>VLOOKUP(C122,Courses!$A$1:$C$11,3,FALSE)</f>
        <v>3</v>
      </c>
    </row>
    <row r="123" spans="1:10">
      <c r="A123" t="s">
        <v>328</v>
      </c>
      <c r="B123" t="s">
        <v>83</v>
      </c>
      <c r="C123" t="s">
        <v>132</v>
      </c>
      <c r="D123">
        <v>0</v>
      </c>
      <c r="E123" t="s">
        <v>204</v>
      </c>
      <c r="F123" t="str">
        <f>VLOOKUP(B123,Students!$A$1:$C$101,2,FALSE)</f>
        <v>Sara Khan</v>
      </c>
      <c r="G123" t="str">
        <f>VLOOKUP(B123,Students!$A$1:$C$101,3,FALSE)</f>
        <v>F</v>
      </c>
      <c r="H123" t="str">
        <f>VLOOKUP(C123,Courses!$A$1:$B$11,2,FALSE)</f>
        <v>DBMS</v>
      </c>
      <c r="I123" t="str">
        <f>VLOOKUP(B123,Students!$A$1:$E$101,5,0)</f>
        <v>Computer Sci</v>
      </c>
      <c r="J123">
        <f>VLOOKUP(C123,Courses!$A$1:$C$11,3,FALSE)</f>
        <v>4</v>
      </c>
    </row>
    <row r="124" spans="1:10">
      <c r="A124" t="s">
        <v>329</v>
      </c>
      <c r="B124" t="s">
        <v>82</v>
      </c>
      <c r="C124" t="s">
        <v>140</v>
      </c>
      <c r="D124">
        <v>0</v>
      </c>
      <c r="E124" t="s">
        <v>210</v>
      </c>
      <c r="F124" t="str">
        <f>VLOOKUP(B124,Students!$A$1:$C$101,2,FALSE)</f>
        <v>Priya Verma</v>
      </c>
      <c r="G124" t="str">
        <f>VLOOKUP(B124,Students!$A$1:$C$101,3,FALSE)</f>
        <v>M</v>
      </c>
      <c r="H124" t="str">
        <f>VLOOKUP(C124,Courses!$A$1:$B$11,2,FALSE)</f>
        <v>Fluid Mechanics</v>
      </c>
      <c r="I124" t="str">
        <f>VLOOKUP(B124,Students!$A$1:$E$101,5,0)</f>
        <v>Electronics</v>
      </c>
      <c r="J124">
        <f>VLOOKUP(C124,Courses!$A$1:$C$11,3,FALSE)</f>
        <v>4</v>
      </c>
    </row>
    <row r="125" spans="1:10">
      <c r="A125" t="s">
        <v>330</v>
      </c>
      <c r="B125" t="s">
        <v>13</v>
      </c>
      <c r="C125" t="s">
        <v>132</v>
      </c>
      <c r="D125">
        <v>8</v>
      </c>
      <c r="E125" t="s">
        <v>204</v>
      </c>
      <c r="F125" t="str">
        <f>VLOOKUP(B125,Students!$A$1:$C$101,2,FALSE)</f>
        <v>Ankit Sharma</v>
      </c>
      <c r="G125" t="str">
        <f>VLOOKUP(B125,Students!$A$1:$C$101,3,FALSE)</f>
        <v>M</v>
      </c>
      <c r="H125" t="str">
        <f>VLOOKUP(C125,Courses!$A$1:$B$11,2,FALSE)</f>
        <v>DBMS</v>
      </c>
      <c r="I125" t="str">
        <f>VLOOKUP(B125,Students!$A$1:$E$101,5,0)</f>
        <v>Mechanical</v>
      </c>
      <c r="J125">
        <f>VLOOKUP(C125,Courses!$A$1:$C$11,3,FALSE)</f>
        <v>4</v>
      </c>
    </row>
    <row r="126" spans="1:10">
      <c r="A126" t="s">
        <v>331</v>
      </c>
      <c r="B126" t="s">
        <v>124</v>
      </c>
      <c r="C126" t="s">
        <v>138</v>
      </c>
      <c r="D126">
        <v>0</v>
      </c>
      <c r="E126" t="s">
        <v>204</v>
      </c>
      <c r="F126" t="str">
        <f>VLOOKUP(B126,Students!$A$1:$C$101,2,FALSE)</f>
        <v>James Clark</v>
      </c>
      <c r="G126" t="str">
        <f>VLOOKUP(B126,Students!$A$1:$C$101,3,FALSE)</f>
        <v>F</v>
      </c>
      <c r="H126" t="str">
        <f>VLOOKUP(C126,Courses!$A$1:$B$11,2,FALSE)</f>
        <v>AI &amp; ML</v>
      </c>
      <c r="I126" t="str">
        <f>VLOOKUP(B126,Students!$A$1:$E$101,5,0)</f>
        <v>Mechanical</v>
      </c>
      <c r="J126">
        <f>VLOOKUP(C126,Courses!$A$1:$C$11,3,FALSE)</f>
        <v>3</v>
      </c>
    </row>
    <row r="127" spans="1:10">
      <c r="A127" t="s">
        <v>332</v>
      </c>
      <c r="B127" t="s">
        <v>124</v>
      </c>
      <c r="C127" t="s">
        <v>134</v>
      </c>
      <c r="D127">
        <v>4</v>
      </c>
      <c r="E127" t="s">
        <v>207</v>
      </c>
      <c r="F127" t="str">
        <f>VLOOKUP(B127,Students!$A$1:$C$101,2,FALSE)</f>
        <v>James Clark</v>
      </c>
      <c r="G127" t="str">
        <f>VLOOKUP(B127,Students!$A$1:$C$101,3,FALSE)</f>
        <v>F</v>
      </c>
      <c r="H127" t="str">
        <f>VLOOKUP(C127,Courses!$A$1:$B$11,2,FALSE)</f>
        <v>Thermodynamics</v>
      </c>
      <c r="I127" t="str">
        <f>VLOOKUP(B127,Students!$A$1:$E$101,5,0)</f>
        <v>Mechanical</v>
      </c>
      <c r="J127">
        <f>VLOOKUP(C127,Courses!$A$1:$C$11,3,FALSE)</f>
        <v>3</v>
      </c>
    </row>
    <row r="128" spans="1:10">
      <c r="A128" t="s">
        <v>333</v>
      </c>
      <c r="B128" t="s">
        <v>60</v>
      </c>
      <c r="C128" t="s">
        <v>134</v>
      </c>
      <c r="D128">
        <v>0</v>
      </c>
      <c r="E128" t="s">
        <v>207</v>
      </c>
      <c r="F128" t="str">
        <f>VLOOKUP(B128,Students!$A$1:$C$101,2,FALSE)</f>
        <v>James Clark</v>
      </c>
      <c r="G128" t="str">
        <f>VLOOKUP(B128,Students!$A$1:$C$101,3,FALSE)</f>
        <v>M</v>
      </c>
      <c r="H128" t="str">
        <f>VLOOKUP(C128,Courses!$A$1:$B$11,2,FALSE)</f>
        <v>Thermodynamics</v>
      </c>
      <c r="I128" t="str">
        <f>VLOOKUP(B128,Students!$A$1:$E$101,5,0)</f>
        <v>Management</v>
      </c>
      <c r="J128">
        <f>VLOOKUP(C128,Courses!$A$1:$C$11,3,FALSE)</f>
        <v>3</v>
      </c>
    </row>
    <row r="129" spans="1:10">
      <c r="A129" t="s">
        <v>334</v>
      </c>
      <c r="B129" t="s">
        <v>108</v>
      </c>
      <c r="C129" t="s">
        <v>144</v>
      </c>
      <c r="D129">
        <v>10</v>
      </c>
      <c r="E129" t="s">
        <v>207</v>
      </c>
      <c r="F129" t="str">
        <f>VLOOKUP(B129,Students!$A$1:$C$101,2,FALSE)</f>
        <v>Robert Taylor</v>
      </c>
      <c r="G129" t="str">
        <f>VLOOKUP(B129,Students!$A$1:$C$101,3,FALSE)</f>
        <v>M</v>
      </c>
      <c r="H129" t="str">
        <f>VLOOKUP(C129,Courses!$A$1:$B$11,2,FALSE)</f>
        <v>Structural Analysis</v>
      </c>
      <c r="I129" t="str">
        <f>VLOOKUP(B129,Students!$A$1:$E$101,5,0)</f>
        <v>Management</v>
      </c>
      <c r="J129">
        <f>VLOOKUP(C129,Courses!$A$1:$C$11,3,FALSE)</f>
        <v>4</v>
      </c>
    </row>
    <row r="130" spans="1:10">
      <c r="A130" t="s">
        <v>335</v>
      </c>
      <c r="B130" t="s">
        <v>70</v>
      </c>
      <c r="C130" t="s">
        <v>142</v>
      </c>
      <c r="D130">
        <v>6</v>
      </c>
      <c r="E130" t="s">
        <v>210</v>
      </c>
      <c r="F130" t="str">
        <f>VLOOKUP(B130,Students!$A$1:$C$101,2,FALSE)</f>
        <v>Sophia Wilson</v>
      </c>
      <c r="G130" t="str">
        <f>VLOOKUP(B130,Students!$A$1:$C$101,3,FALSE)</f>
        <v>F</v>
      </c>
      <c r="H130" t="str">
        <f>VLOOKUP(C130,Courses!$A$1:$B$11,2,FALSE)</f>
        <v>Digital Logic</v>
      </c>
      <c r="I130" t="str">
        <f>VLOOKUP(B130,Students!$A$1:$E$101,5,0)</f>
        <v>Management</v>
      </c>
      <c r="J130">
        <f>VLOOKUP(C130,Courses!$A$1:$C$11,3,FALSE)</f>
        <v>3</v>
      </c>
    </row>
    <row r="131" spans="1:10">
      <c r="A131" t="s">
        <v>336</v>
      </c>
      <c r="B131" t="s">
        <v>112</v>
      </c>
      <c r="C131" t="s">
        <v>132</v>
      </c>
      <c r="D131">
        <v>8</v>
      </c>
      <c r="E131" t="s">
        <v>210</v>
      </c>
      <c r="F131" t="str">
        <f>VLOOKUP(B131,Students!$A$1:$C$101,2,FALSE)</f>
        <v>Robert Taylor</v>
      </c>
      <c r="G131" t="str">
        <f>VLOOKUP(B131,Students!$A$1:$C$101,3,FALSE)</f>
        <v>M</v>
      </c>
      <c r="H131" t="str">
        <f>VLOOKUP(C131,Courses!$A$1:$B$11,2,FALSE)</f>
        <v>DBMS</v>
      </c>
      <c r="I131" t="str">
        <f>VLOOKUP(B131,Students!$A$1:$E$101,5,0)</f>
        <v>Mechanical</v>
      </c>
      <c r="J131">
        <f>VLOOKUP(C131,Courses!$A$1:$C$11,3,FALSE)</f>
        <v>4</v>
      </c>
    </row>
    <row r="132" spans="1:10">
      <c r="A132" t="s">
        <v>337</v>
      </c>
      <c r="B132" t="s">
        <v>79</v>
      </c>
      <c r="C132" t="s">
        <v>144</v>
      </c>
      <c r="D132">
        <v>6</v>
      </c>
      <c r="E132" t="s">
        <v>207</v>
      </c>
      <c r="F132" t="str">
        <f>VLOOKUP(B132,Students!$A$1:$C$101,2,FALSE)</f>
        <v>Emily Davis</v>
      </c>
      <c r="G132" t="str">
        <f>VLOOKUP(B132,Students!$A$1:$C$101,3,FALSE)</f>
        <v>M</v>
      </c>
      <c r="H132" t="str">
        <f>VLOOKUP(C132,Courses!$A$1:$B$11,2,FALSE)</f>
        <v>Structural Analysis</v>
      </c>
      <c r="I132" t="str">
        <f>VLOOKUP(B132,Students!$A$1:$E$101,5,0)</f>
        <v>Civil</v>
      </c>
      <c r="J132">
        <f>VLOOKUP(C132,Courses!$A$1:$C$11,3,FALSE)</f>
        <v>4</v>
      </c>
    </row>
    <row r="133" spans="1:10">
      <c r="A133" t="s">
        <v>338</v>
      </c>
      <c r="B133" t="s">
        <v>124</v>
      </c>
      <c r="C133" t="s">
        <v>146</v>
      </c>
      <c r="D133">
        <v>10</v>
      </c>
      <c r="E133" t="s">
        <v>207</v>
      </c>
      <c r="F133" t="str">
        <f>VLOOKUP(B133,Students!$A$1:$C$101,2,FALSE)</f>
        <v>James Clark</v>
      </c>
      <c r="G133" t="str">
        <f>VLOOKUP(B133,Students!$A$1:$C$101,3,FALSE)</f>
        <v>F</v>
      </c>
      <c r="H133" t="str">
        <f>VLOOKUP(C133,Courses!$A$1:$B$11,2,FALSE)</f>
        <v>Marketing</v>
      </c>
      <c r="I133" t="str">
        <f>VLOOKUP(B133,Students!$A$1:$E$101,5,0)</f>
        <v>Mechanical</v>
      </c>
      <c r="J133">
        <f>VLOOKUP(C133,Courses!$A$1:$C$11,3,FALSE)</f>
        <v>3</v>
      </c>
    </row>
    <row r="134" spans="1:10">
      <c r="A134" t="s">
        <v>339</v>
      </c>
      <c r="B134" t="s">
        <v>32</v>
      </c>
      <c r="C134" t="s">
        <v>140</v>
      </c>
      <c r="D134">
        <v>6</v>
      </c>
      <c r="E134" t="s">
        <v>210</v>
      </c>
      <c r="F134" t="str">
        <f>VLOOKUP(B134,Students!$A$1:$C$101,2,FALSE)</f>
        <v>Emily Davis</v>
      </c>
      <c r="G134" t="str">
        <f>VLOOKUP(B134,Students!$A$1:$C$101,3,FALSE)</f>
        <v>M</v>
      </c>
      <c r="H134" t="str">
        <f>VLOOKUP(C134,Courses!$A$1:$B$11,2,FALSE)</f>
        <v>Fluid Mechanics</v>
      </c>
      <c r="I134" t="str">
        <f>VLOOKUP(B134,Students!$A$1:$E$101,5,0)</f>
        <v>Computer Sci</v>
      </c>
      <c r="J134">
        <f>VLOOKUP(C134,Courses!$A$1:$C$11,3,FALSE)</f>
        <v>4</v>
      </c>
    </row>
    <row r="135" spans="1:10">
      <c r="A135" t="s">
        <v>340</v>
      </c>
      <c r="B135" t="s">
        <v>35</v>
      </c>
      <c r="C135" t="s">
        <v>142</v>
      </c>
      <c r="D135">
        <v>0</v>
      </c>
      <c r="E135" t="s">
        <v>204</v>
      </c>
      <c r="F135" t="str">
        <f>VLOOKUP(B135,Students!$A$1:$C$101,2,FALSE)</f>
        <v>Daniel Lee</v>
      </c>
      <c r="G135" t="str">
        <f>VLOOKUP(B135,Students!$A$1:$C$101,3,FALSE)</f>
        <v>F</v>
      </c>
      <c r="H135" t="str">
        <f>VLOOKUP(C135,Courses!$A$1:$B$11,2,FALSE)</f>
        <v>Digital Logic</v>
      </c>
      <c r="I135" t="str">
        <f>VLOOKUP(B135,Students!$A$1:$E$101,5,0)</f>
        <v>Mechanical</v>
      </c>
      <c r="J135">
        <f>VLOOKUP(C135,Courses!$A$1:$C$11,3,FALSE)</f>
        <v>3</v>
      </c>
    </row>
    <row r="136" spans="1:10">
      <c r="A136" t="s">
        <v>341</v>
      </c>
      <c r="B136" t="s">
        <v>111</v>
      </c>
      <c r="C136" t="s">
        <v>146</v>
      </c>
      <c r="D136">
        <v>4</v>
      </c>
      <c r="E136" t="s">
        <v>207</v>
      </c>
      <c r="F136" t="str">
        <f>VLOOKUP(B136,Students!$A$1:$C$101,2,FALSE)</f>
        <v>Priya Verma</v>
      </c>
      <c r="G136" t="str">
        <f>VLOOKUP(B136,Students!$A$1:$C$101,3,FALSE)</f>
        <v>M</v>
      </c>
      <c r="H136" t="str">
        <f>VLOOKUP(C136,Courses!$A$1:$B$11,2,FALSE)</f>
        <v>Marketing</v>
      </c>
      <c r="I136" t="str">
        <f>VLOOKUP(B136,Students!$A$1:$E$101,5,0)</f>
        <v>Electronics</v>
      </c>
      <c r="J136">
        <f>VLOOKUP(C136,Courses!$A$1:$C$11,3,FALSE)</f>
        <v>3</v>
      </c>
    </row>
    <row r="137" spans="1:10">
      <c r="A137" t="s">
        <v>342</v>
      </c>
      <c r="B137" t="s">
        <v>21</v>
      </c>
      <c r="C137" t="s">
        <v>136</v>
      </c>
      <c r="D137">
        <v>0</v>
      </c>
      <c r="E137" t="s">
        <v>210</v>
      </c>
      <c r="F137" t="str">
        <f>VLOOKUP(B137,Students!$A$1:$C$101,2,FALSE)</f>
        <v>Robert Taylor</v>
      </c>
      <c r="G137" t="str">
        <f>VLOOKUP(B137,Students!$A$1:$C$101,3,FALSE)</f>
        <v>M</v>
      </c>
      <c r="H137" t="str">
        <f>VLOOKUP(C137,Courses!$A$1:$B$11,2,FALSE)</f>
        <v>Circuits</v>
      </c>
      <c r="I137" t="str">
        <f>VLOOKUP(B137,Students!$A$1:$E$101,5,0)</f>
        <v>Civil</v>
      </c>
      <c r="J137">
        <f>VLOOKUP(C137,Courses!$A$1:$C$11,3,FALSE)</f>
        <v>4</v>
      </c>
    </row>
    <row r="138" spans="1:10">
      <c r="A138" t="s">
        <v>343</v>
      </c>
      <c r="B138" t="s">
        <v>106</v>
      </c>
      <c r="C138" t="s">
        <v>144</v>
      </c>
      <c r="D138">
        <v>4</v>
      </c>
      <c r="E138" t="s">
        <v>204</v>
      </c>
      <c r="F138" t="str">
        <f>VLOOKUP(B138,Students!$A$1:$C$101,2,FALSE)</f>
        <v>Sneha Patil</v>
      </c>
      <c r="G138" t="str">
        <f>VLOOKUP(B138,Students!$A$1:$C$101,3,FALSE)</f>
        <v>F</v>
      </c>
      <c r="H138" t="str">
        <f>VLOOKUP(C138,Courses!$A$1:$B$11,2,FALSE)</f>
        <v>Structural Analysis</v>
      </c>
      <c r="I138" t="str">
        <f>VLOOKUP(B138,Students!$A$1:$E$101,5,0)</f>
        <v>Electronics</v>
      </c>
      <c r="J138">
        <f>VLOOKUP(C138,Courses!$A$1:$C$11,3,FALSE)</f>
        <v>4</v>
      </c>
    </row>
    <row r="139" spans="1:10">
      <c r="A139" t="s">
        <v>344</v>
      </c>
      <c r="B139" t="s">
        <v>51</v>
      </c>
      <c r="C139" t="s">
        <v>138</v>
      </c>
      <c r="D139">
        <v>0</v>
      </c>
      <c r="E139" t="s">
        <v>201</v>
      </c>
      <c r="F139" t="str">
        <f>VLOOKUP(B139,Students!$A$1:$C$101,2,FALSE)</f>
        <v>Sara Khan</v>
      </c>
      <c r="G139" t="str">
        <f>VLOOKUP(B139,Students!$A$1:$C$101,3,FALSE)</f>
        <v>F</v>
      </c>
      <c r="H139" t="str">
        <f>VLOOKUP(C139,Courses!$A$1:$B$11,2,FALSE)</f>
        <v>AI &amp; ML</v>
      </c>
      <c r="I139" t="str">
        <f>VLOOKUP(B139,Students!$A$1:$E$101,5,0)</f>
        <v>Mechanical</v>
      </c>
      <c r="J139">
        <f>VLOOKUP(C139,Courses!$A$1:$C$11,3,FALSE)</f>
        <v>3</v>
      </c>
    </row>
    <row r="140" spans="1:10">
      <c r="A140" t="s">
        <v>345</v>
      </c>
      <c r="B140" t="s">
        <v>61</v>
      </c>
      <c r="C140" t="s">
        <v>144</v>
      </c>
      <c r="D140">
        <v>4</v>
      </c>
      <c r="E140" t="s">
        <v>204</v>
      </c>
      <c r="F140" t="str">
        <f>VLOOKUP(B140,Students!$A$1:$C$101,2,FALSE)</f>
        <v>Raj Mehta</v>
      </c>
      <c r="G140" t="str">
        <f>VLOOKUP(B140,Students!$A$1:$C$101,3,FALSE)</f>
        <v>M</v>
      </c>
      <c r="H140" t="str">
        <f>VLOOKUP(C140,Courses!$A$1:$B$11,2,FALSE)</f>
        <v>Structural Analysis</v>
      </c>
      <c r="I140" t="str">
        <f>VLOOKUP(B140,Students!$A$1:$E$101,5,0)</f>
        <v>Electronics</v>
      </c>
      <c r="J140">
        <f>VLOOKUP(C140,Courses!$A$1:$C$11,3,FALSE)</f>
        <v>4</v>
      </c>
    </row>
    <row r="141" spans="1:10">
      <c r="A141" t="s">
        <v>346</v>
      </c>
      <c r="B141" t="s">
        <v>13</v>
      </c>
      <c r="C141" t="s">
        <v>148</v>
      </c>
      <c r="D141">
        <v>8</v>
      </c>
      <c r="E141" t="s">
        <v>201</v>
      </c>
      <c r="F141" t="str">
        <f>VLOOKUP(B141,Students!$A$1:$C$101,2,FALSE)</f>
        <v>Ankit Sharma</v>
      </c>
      <c r="G141" t="str">
        <f>VLOOKUP(B141,Students!$A$1:$C$101,3,FALSE)</f>
        <v>M</v>
      </c>
      <c r="H141" t="str">
        <f>VLOOKUP(C141,Courses!$A$1:$B$11,2,FALSE)</f>
        <v>Finance</v>
      </c>
      <c r="I141" t="str">
        <f>VLOOKUP(B141,Students!$A$1:$E$101,5,0)</f>
        <v>Mechanical</v>
      </c>
      <c r="J141">
        <f>VLOOKUP(C141,Courses!$A$1:$C$11,3,FALSE)</f>
        <v>4</v>
      </c>
    </row>
    <row r="142" spans="1:10">
      <c r="A142" t="s">
        <v>347</v>
      </c>
      <c r="B142" t="s">
        <v>64</v>
      </c>
      <c r="C142" t="s">
        <v>146</v>
      </c>
      <c r="D142">
        <v>10</v>
      </c>
      <c r="E142" t="s">
        <v>207</v>
      </c>
      <c r="F142" t="str">
        <f>VLOOKUP(B142,Students!$A$1:$C$101,2,FALSE)</f>
        <v>James Clark</v>
      </c>
      <c r="G142" t="str">
        <f>VLOOKUP(B142,Students!$A$1:$C$101,3,FALSE)</f>
        <v>F</v>
      </c>
      <c r="H142" t="str">
        <f>VLOOKUP(C142,Courses!$A$1:$B$11,2,FALSE)</f>
        <v>Marketing</v>
      </c>
      <c r="I142" t="str">
        <f>VLOOKUP(B142,Students!$A$1:$E$101,5,0)</f>
        <v>Mechanical</v>
      </c>
      <c r="J142">
        <f>VLOOKUP(C142,Courses!$A$1:$C$11,3,FALSE)</f>
        <v>3</v>
      </c>
    </row>
    <row r="143" spans="1:10">
      <c r="A143" t="s">
        <v>348</v>
      </c>
      <c r="B143" t="s">
        <v>32</v>
      </c>
      <c r="C143" t="s">
        <v>136</v>
      </c>
      <c r="D143">
        <v>10</v>
      </c>
      <c r="E143" t="s">
        <v>207</v>
      </c>
      <c r="F143" t="str">
        <f>VLOOKUP(B143,Students!$A$1:$C$101,2,FALSE)</f>
        <v>Emily Davis</v>
      </c>
      <c r="G143" t="str">
        <f>VLOOKUP(B143,Students!$A$1:$C$101,3,FALSE)</f>
        <v>M</v>
      </c>
      <c r="H143" t="str">
        <f>VLOOKUP(C143,Courses!$A$1:$B$11,2,FALSE)</f>
        <v>Circuits</v>
      </c>
      <c r="I143" t="str">
        <f>VLOOKUP(B143,Students!$A$1:$E$101,5,0)</f>
        <v>Computer Sci</v>
      </c>
      <c r="J143">
        <f>VLOOKUP(C143,Courses!$A$1:$C$11,3,FALSE)</f>
        <v>4</v>
      </c>
    </row>
    <row r="144" spans="1:10">
      <c r="A144" t="s">
        <v>349</v>
      </c>
      <c r="B144" t="s">
        <v>36</v>
      </c>
      <c r="C144" t="s">
        <v>134</v>
      </c>
      <c r="D144">
        <v>4</v>
      </c>
      <c r="E144" t="s">
        <v>210</v>
      </c>
      <c r="F144" t="str">
        <f>VLOOKUP(B144,Students!$A$1:$C$101,2,FALSE)</f>
        <v>Sophia Wilson</v>
      </c>
      <c r="G144" t="str">
        <f>VLOOKUP(B144,Students!$A$1:$C$101,3,FALSE)</f>
        <v>M</v>
      </c>
      <c r="H144" t="str">
        <f>VLOOKUP(C144,Courses!$A$1:$B$11,2,FALSE)</f>
        <v>Thermodynamics</v>
      </c>
      <c r="I144" t="str">
        <f>VLOOKUP(B144,Students!$A$1:$E$101,5,0)</f>
        <v>Electronics</v>
      </c>
      <c r="J144">
        <f>VLOOKUP(C144,Courses!$A$1:$C$11,3,FALSE)</f>
        <v>3</v>
      </c>
    </row>
    <row r="145" spans="1:10">
      <c r="A145" t="s">
        <v>350</v>
      </c>
      <c r="B145" t="s">
        <v>92</v>
      </c>
      <c r="C145" t="s">
        <v>138</v>
      </c>
      <c r="D145">
        <v>4</v>
      </c>
      <c r="E145" t="s">
        <v>207</v>
      </c>
      <c r="F145" t="str">
        <f>VLOOKUP(B145,Students!$A$1:$C$101,2,FALSE)</f>
        <v>James Clark</v>
      </c>
      <c r="G145" t="str">
        <f>VLOOKUP(B145,Students!$A$1:$C$101,3,FALSE)</f>
        <v>M</v>
      </c>
      <c r="H145" t="str">
        <f>VLOOKUP(C145,Courses!$A$1:$B$11,2,FALSE)</f>
        <v>AI &amp; ML</v>
      </c>
      <c r="I145" t="str">
        <f>VLOOKUP(B145,Students!$A$1:$E$101,5,0)</f>
        <v>Civil</v>
      </c>
      <c r="J145">
        <f>VLOOKUP(C145,Courses!$A$1:$C$11,3,FALSE)</f>
        <v>3</v>
      </c>
    </row>
    <row r="146" spans="1:10">
      <c r="A146" t="s">
        <v>351</v>
      </c>
      <c r="B146" t="s">
        <v>87</v>
      </c>
      <c r="C146" t="s">
        <v>136</v>
      </c>
      <c r="D146">
        <v>4</v>
      </c>
      <c r="E146" t="s">
        <v>201</v>
      </c>
      <c r="F146" t="str">
        <f>VLOOKUP(B146,Students!$A$1:$C$101,2,FALSE)</f>
        <v>Sara Khan</v>
      </c>
      <c r="G146" t="str">
        <f>VLOOKUP(B146,Students!$A$1:$C$101,3,FALSE)</f>
        <v>M</v>
      </c>
      <c r="H146" t="str">
        <f>VLOOKUP(C146,Courses!$A$1:$B$11,2,FALSE)</f>
        <v>Circuits</v>
      </c>
      <c r="I146" t="str">
        <f>VLOOKUP(B146,Students!$A$1:$E$101,5,0)</f>
        <v>Civil</v>
      </c>
      <c r="J146">
        <f>VLOOKUP(C146,Courses!$A$1:$C$11,3,FALSE)</f>
        <v>4</v>
      </c>
    </row>
    <row r="147" spans="1:10">
      <c r="A147" t="s">
        <v>352</v>
      </c>
      <c r="B147" t="s">
        <v>76</v>
      </c>
      <c r="C147" t="s">
        <v>136</v>
      </c>
      <c r="D147">
        <v>0</v>
      </c>
      <c r="E147" t="s">
        <v>201</v>
      </c>
      <c r="F147" t="str">
        <f>VLOOKUP(B147,Students!$A$1:$C$101,2,FALSE)</f>
        <v>Emily Davis</v>
      </c>
      <c r="G147" t="str">
        <f>VLOOKUP(B147,Students!$A$1:$C$101,3,FALSE)</f>
        <v>M</v>
      </c>
      <c r="H147" t="str">
        <f>VLOOKUP(C147,Courses!$A$1:$B$11,2,FALSE)</f>
        <v>Circuits</v>
      </c>
      <c r="I147" t="str">
        <f>VLOOKUP(B147,Students!$A$1:$E$101,5,0)</f>
        <v>Computer Sci</v>
      </c>
      <c r="J147">
        <f>VLOOKUP(C147,Courses!$A$1:$C$11,3,FALSE)</f>
        <v>4</v>
      </c>
    </row>
    <row r="148" spans="1:10">
      <c r="A148" t="s">
        <v>353</v>
      </c>
      <c r="B148" t="s">
        <v>27</v>
      </c>
      <c r="C148" t="s">
        <v>138</v>
      </c>
      <c r="D148">
        <v>4</v>
      </c>
      <c r="E148" t="s">
        <v>210</v>
      </c>
      <c r="F148" t="str">
        <f>VLOOKUP(B148,Students!$A$1:$C$101,2,FALSE)</f>
        <v>Daniel Lee</v>
      </c>
      <c r="G148" t="str">
        <f>VLOOKUP(B148,Students!$A$1:$C$101,3,FALSE)</f>
        <v>F</v>
      </c>
      <c r="H148" t="str">
        <f>VLOOKUP(C148,Courses!$A$1:$B$11,2,FALSE)</f>
        <v>AI &amp; ML</v>
      </c>
      <c r="I148" t="str">
        <f>VLOOKUP(B148,Students!$A$1:$E$101,5,0)</f>
        <v>Computer Sci</v>
      </c>
      <c r="J148">
        <f>VLOOKUP(C148,Courses!$A$1:$C$11,3,FALSE)</f>
        <v>3</v>
      </c>
    </row>
    <row r="149" spans="1:10">
      <c r="A149" t="s">
        <v>354</v>
      </c>
      <c r="B149" t="s">
        <v>91</v>
      </c>
      <c r="C149" t="s">
        <v>138</v>
      </c>
      <c r="D149">
        <v>10</v>
      </c>
      <c r="E149" t="s">
        <v>210</v>
      </c>
      <c r="F149" t="str">
        <f>VLOOKUP(B149,Students!$A$1:$C$101,2,FALSE)</f>
        <v>Michael Brown</v>
      </c>
      <c r="G149" t="str">
        <f>VLOOKUP(B149,Students!$A$1:$C$101,3,FALSE)</f>
        <v>F</v>
      </c>
      <c r="H149" t="str">
        <f>VLOOKUP(C149,Courses!$A$1:$B$11,2,FALSE)</f>
        <v>AI &amp; ML</v>
      </c>
      <c r="I149" t="str">
        <f>VLOOKUP(B149,Students!$A$1:$E$101,5,0)</f>
        <v>Civil</v>
      </c>
      <c r="J149">
        <f>VLOOKUP(C149,Courses!$A$1:$C$11,3,FALSE)</f>
        <v>3</v>
      </c>
    </row>
    <row r="150" spans="1:10">
      <c r="A150" t="s">
        <v>355</v>
      </c>
      <c r="B150" t="s">
        <v>119</v>
      </c>
      <c r="C150" t="s">
        <v>138</v>
      </c>
      <c r="D150">
        <v>0</v>
      </c>
      <c r="E150" t="s">
        <v>207</v>
      </c>
      <c r="F150" t="str">
        <f>VLOOKUP(B150,Students!$A$1:$C$101,2,FALSE)</f>
        <v>Emily Davis</v>
      </c>
      <c r="G150" t="str">
        <f>VLOOKUP(B150,Students!$A$1:$C$101,3,FALSE)</f>
        <v>M</v>
      </c>
      <c r="H150" t="str">
        <f>VLOOKUP(C150,Courses!$A$1:$B$11,2,FALSE)</f>
        <v>AI &amp; ML</v>
      </c>
      <c r="I150" t="str">
        <f>VLOOKUP(B150,Students!$A$1:$E$101,5,0)</f>
        <v>Management</v>
      </c>
      <c r="J150">
        <f>VLOOKUP(C150,Courses!$A$1:$C$11,3,FALSE)</f>
        <v>3</v>
      </c>
    </row>
    <row r="151" spans="1:10">
      <c r="A151" t="s">
        <v>356</v>
      </c>
      <c r="B151" t="s">
        <v>42</v>
      </c>
      <c r="C151" t="s">
        <v>144</v>
      </c>
      <c r="D151">
        <v>0</v>
      </c>
      <c r="E151" t="s">
        <v>207</v>
      </c>
      <c r="F151" t="str">
        <f>VLOOKUP(B151,Students!$A$1:$C$101,2,FALSE)</f>
        <v>Michael Brown</v>
      </c>
      <c r="G151" t="str">
        <f>VLOOKUP(B151,Students!$A$1:$C$101,3,FALSE)</f>
        <v>F</v>
      </c>
      <c r="H151" t="str">
        <f>VLOOKUP(C151,Courses!$A$1:$B$11,2,FALSE)</f>
        <v>Structural Analysis</v>
      </c>
      <c r="I151" t="str">
        <f>VLOOKUP(B151,Students!$A$1:$E$101,5,0)</f>
        <v>Management</v>
      </c>
      <c r="J151">
        <f>VLOOKUP(C151,Courses!$A$1:$C$11,3,FALSE)</f>
        <v>4</v>
      </c>
    </row>
    <row r="152" spans="1:10">
      <c r="A152" t="s">
        <v>357</v>
      </c>
      <c r="B152" t="s">
        <v>70</v>
      </c>
      <c r="C152" t="s">
        <v>140</v>
      </c>
      <c r="D152">
        <v>0</v>
      </c>
      <c r="E152" t="s">
        <v>207</v>
      </c>
      <c r="F152" t="str">
        <f>VLOOKUP(B152,Students!$A$1:$C$101,2,FALSE)</f>
        <v>Sophia Wilson</v>
      </c>
      <c r="G152" t="str">
        <f>VLOOKUP(B152,Students!$A$1:$C$101,3,FALSE)</f>
        <v>F</v>
      </c>
      <c r="H152" t="str">
        <f>VLOOKUP(C152,Courses!$A$1:$B$11,2,FALSE)</f>
        <v>Fluid Mechanics</v>
      </c>
      <c r="I152" t="str">
        <f>VLOOKUP(B152,Students!$A$1:$E$101,5,0)</f>
        <v>Management</v>
      </c>
      <c r="J152">
        <f>VLOOKUP(C152,Courses!$A$1:$C$11,3,FALSE)</f>
        <v>4</v>
      </c>
    </row>
    <row r="153" spans="1:10">
      <c r="A153" t="s">
        <v>358</v>
      </c>
      <c r="B153" t="s">
        <v>85</v>
      </c>
      <c r="C153" t="s">
        <v>140</v>
      </c>
      <c r="D153">
        <v>8</v>
      </c>
      <c r="E153" t="s">
        <v>201</v>
      </c>
      <c r="F153" t="str">
        <f>VLOOKUP(B153,Students!$A$1:$C$101,2,FALSE)</f>
        <v>Chris Evans</v>
      </c>
      <c r="G153" t="str">
        <f>VLOOKUP(B153,Students!$A$1:$C$101,3,FALSE)</f>
        <v>F</v>
      </c>
      <c r="H153" t="str">
        <f>VLOOKUP(C153,Courses!$A$1:$B$11,2,FALSE)</f>
        <v>Fluid Mechanics</v>
      </c>
      <c r="I153" t="str">
        <f>VLOOKUP(B153,Students!$A$1:$E$101,5,0)</f>
        <v>Mechanical</v>
      </c>
      <c r="J153">
        <f>VLOOKUP(C153,Courses!$A$1:$C$11,3,FALSE)</f>
        <v>4</v>
      </c>
    </row>
    <row r="154" spans="1:10">
      <c r="A154" t="s">
        <v>359</v>
      </c>
      <c r="B154" t="s">
        <v>100</v>
      </c>
      <c r="C154" t="s">
        <v>142</v>
      </c>
      <c r="D154">
        <v>8</v>
      </c>
      <c r="E154" t="s">
        <v>207</v>
      </c>
      <c r="F154" t="str">
        <f>VLOOKUP(B154,Students!$A$1:$C$101,2,FALSE)</f>
        <v>Priya Verma</v>
      </c>
      <c r="G154" t="str">
        <f>VLOOKUP(B154,Students!$A$1:$C$101,3,FALSE)</f>
        <v>M</v>
      </c>
      <c r="H154" t="str">
        <f>VLOOKUP(C154,Courses!$A$1:$B$11,2,FALSE)</f>
        <v>Digital Logic</v>
      </c>
      <c r="I154" t="str">
        <f>VLOOKUP(B154,Students!$A$1:$E$101,5,0)</f>
        <v>Management</v>
      </c>
      <c r="J154">
        <f>VLOOKUP(C154,Courses!$A$1:$C$11,3,FALSE)</f>
        <v>3</v>
      </c>
    </row>
    <row r="155" spans="1:10">
      <c r="A155" t="s">
        <v>360</v>
      </c>
      <c r="B155" t="s">
        <v>19</v>
      </c>
      <c r="C155" t="s">
        <v>140</v>
      </c>
      <c r="D155">
        <v>4</v>
      </c>
      <c r="E155" t="s">
        <v>207</v>
      </c>
      <c r="F155" t="str">
        <f>VLOOKUP(B155,Students!$A$1:$C$101,2,FALSE)</f>
        <v>Sara Khan</v>
      </c>
      <c r="G155" t="str">
        <f>VLOOKUP(B155,Students!$A$1:$C$101,3,FALSE)</f>
        <v>M</v>
      </c>
      <c r="H155" t="str">
        <f>VLOOKUP(C155,Courses!$A$1:$B$11,2,FALSE)</f>
        <v>Fluid Mechanics</v>
      </c>
      <c r="I155" t="str">
        <f>VLOOKUP(B155,Students!$A$1:$E$101,5,0)</f>
        <v>Management</v>
      </c>
      <c r="J155">
        <f>VLOOKUP(C155,Courses!$A$1:$C$11,3,FALSE)</f>
        <v>4</v>
      </c>
    </row>
    <row r="156" spans="1:10">
      <c r="A156" t="s">
        <v>361</v>
      </c>
      <c r="B156" t="s">
        <v>76</v>
      </c>
      <c r="C156" t="s">
        <v>134</v>
      </c>
      <c r="D156">
        <v>4</v>
      </c>
      <c r="E156" t="s">
        <v>204</v>
      </c>
      <c r="F156" t="str">
        <f>VLOOKUP(B156,Students!$A$1:$C$101,2,FALSE)</f>
        <v>Emily Davis</v>
      </c>
      <c r="G156" t="str">
        <f>VLOOKUP(B156,Students!$A$1:$C$101,3,FALSE)</f>
        <v>M</v>
      </c>
      <c r="H156" t="str">
        <f>VLOOKUP(C156,Courses!$A$1:$B$11,2,FALSE)</f>
        <v>Thermodynamics</v>
      </c>
      <c r="I156" t="str">
        <f>VLOOKUP(B156,Students!$A$1:$E$101,5,0)</f>
        <v>Computer Sci</v>
      </c>
      <c r="J156">
        <f>VLOOKUP(C156,Courses!$A$1:$C$11,3,FALSE)</f>
        <v>3</v>
      </c>
    </row>
    <row r="157" spans="1:10">
      <c r="A157" t="s">
        <v>362</v>
      </c>
      <c r="B157" t="s">
        <v>38</v>
      </c>
      <c r="C157" t="s">
        <v>146</v>
      </c>
      <c r="D157">
        <v>0</v>
      </c>
      <c r="E157" t="s">
        <v>210</v>
      </c>
      <c r="F157" t="str">
        <f>VLOOKUP(B157,Students!$A$1:$C$101,2,FALSE)</f>
        <v>Michael Brown</v>
      </c>
      <c r="G157" t="str">
        <f>VLOOKUP(B157,Students!$A$1:$C$101,3,FALSE)</f>
        <v>F</v>
      </c>
      <c r="H157" t="str">
        <f>VLOOKUP(C157,Courses!$A$1:$B$11,2,FALSE)</f>
        <v>Marketing</v>
      </c>
      <c r="I157" t="str">
        <f>VLOOKUP(B157,Students!$A$1:$E$101,5,0)</f>
        <v>Electronics</v>
      </c>
      <c r="J157">
        <f>VLOOKUP(C157,Courses!$A$1:$C$11,3,FALSE)</f>
        <v>3</v>
      </c>
    </row>
    <row r="158" spans="1:10">
      <c r="A158" t="s">
        <v>363</v>
      </c>
      <c r="B158" t="s">
        <v>33</v>
      </c>
      <c r="C158" t="s">
        <v>144</v>
      </c>
      <c r="D158">
        <v>10</v>
      </c>
      <c r="E158" t="s">
        <v>207</v>
      </c>
      <c r="F158" t="str">
        <f>VLOOKUP(B158,Students!$A$1:$C$101,2,FALSE)</f>
        <v>Emily Davis</v>
      </c>
      <c r="G158" t="str">
        <f>VLOOKUP(B158,Students!$A$1:$C$101,3,FALSE)</f>
        <v>F</v>
      </c>
      <c r="H158" t="str">
        <f>VLOOKUP(C158,Courses!$A$1:$B$11,2,FALSE)</f>
        <v>Structural Analysis</v>
      </c>
      <c r="I158" t="str">
        <f>VLOOKUP(B158,Students!$A$1:$E$101,5,0)</f>
        <v>Management</v>
      </c>
      <c r="J158">
        <f>VLOOKUP(C158,Courses!$A$1:$C$11,3,FALSE)</f>
        <v>4</v>
      </c>
    </row>
    <row r="159" spans="1:10">
      <c r="A159" t="s">
        <v>364</v>
      </c>
      <c r="B159" t="s">
        <v>9</v>
      </c>
      <c r="C159" t="s">
        <v>134</v>
      </c>
      <c r="D159">
        <v>4</v>
      </c>
      <c r="E159" t="s">
        <v>201</v>
      </c>
      <c r="F159" t="str">
        <f>VLOOKUP(B159,Students!$A$1:$C$101,2,FALSE)</f>
        <v>Sneha Patil</v>
      </c>
      <c r="G159" t="str">
        <f>VLOOKUP(B159,Students!$A$1:$C$101,3,FALSE)</f>
        <v>M</v>
      </c>
      <c r="H159" t="str">
        <f>VLOOKUP(C159,Courses!$A$1:$B$11,2,FALSE)</f>
        <v>Thermodynamics</v>
      </c>
      <c r="I159" t="str">
        <f>VLOOKUP(B159,Students!$A$1:$E$101,5,0)</f>
        <v>Computer Sci</v>
      </c>
      <c r="J159">
        <f>VLOOKUP(C159,Courses!$A$1:$C$11,3,FALSE)</f>
        <v>3</v>
      </c>
    </row>
    <row r="160" spans="1:10">
      <c r="A160" t="s">
        <v>365</v>
      </c>
      <c r="B160" t="s">
        <v>29</v>
      </c>
      <c r="C160" t="s">
        <v>144</v>
      </c>
      <c r="D160">
        <v>6</v>
      </c>
      <c r="E160" t="s">
        <v>210</v>
      </c>
      <c r="F160" t="str">
        <f>VLOOKUP(B160,Students!$A$1:$C$101,2,FALSE)</f>
        <v>Sara Khan</v>
      </c>
      <c r="G160" t="str">
        <f>VLOOKUP(B160,Students!$A$1:$C$101,3,FALSE)</f>
        <v>M</v>
      </c>
      <c r="H160" t="str">
        <f>VLOOKUP(C160,Courses!$A$1:$B$11,2,FALSE)</f>
        <v>Structural Analysis</v>
      </c>
      <c r="I160" t="str">
        <f>VLOOKUP(B160,Students!$A$1:$E$101,5,0)</f>
        <v>Electronics</v>
      </c>
      <c r="J160">
        <f>VLOOKUP(C160,Courses!$A$1:$C$11,3,FALSE)</f>
        <v>4</v>
      </c>
    </row>
    <row r="161" spans="1:10">
      <c r="A161" t="s">
        <v>366</v>
      </c>
      <c r="B161" t="s">
        <v>106</v>
      </c>
      <c r="C161" t="s">
        <v>142</v>
      </c>
      <c r="D161">
        <v>10</v>
      </c>
      <c r="E161" t="s">
        <v>210</v>
      </c>
      <c r="F161" t="str">
        <f>VLOOKUP(B161,Students!$A$1:$C$101,2,FALSE)</f>
        <v>Sneha Patil</v>
      </c>
      <c r="G161" t="str">
        <f>VLOOKUP(B161,Students!$A$1:$C$101,3,FALSE)</f>
        <v>F</v>
      </c>
      <c r="H161" t="str">
        <f>VLOOKUP(C161,Courses!$A$1:$B$11,2,FALSE)</f>
        <v>Digital Logic</v>
      </c>
      <c r="I161" t="str">
        <f>VLOOKUP(B161,Students!$A$1:$E$101,5,0)</f>
        <v>Electronics</v>
      </c>
      <c r="J161">
        <f>VLOOKUP(C161,Courses!$A$1:$C$11,3,FALSE)</f>
        <v>3</v>
      </c>
    </row>
    <row r="162" spans="1:10">
      <c r="A162" t="s">
        <v>367</v>
      </c>
      <c r="B162" t="s">
        <v>113</v>
      </c>
      <c r="C162" t="s">
        <v>146</v>
      </c>
      <c r="D162">
        <v>4</v>
      </c>
      <c r="E162" t="s">
        <v>210</v>
      </c>
      <c r="F162" t="str">
        <f>VLOOKUP(B162,Students!$A$1:$C$101,2,FALSE)</f>
        <v>Nisha Gupta</v>
      </c>
      <c r="G162" t="str">
        <f>VLOOKUP(B162,Students!$A$1:$C$101,3,FALSE)</f>
        <v>F</v>
      </c>
      <c r="H162" t="str">
        <f>VLOOKUP(C162,Courses!$A$1:$B$11,2,FALSE)</f>
        <v>Marketing</v>
      </c>
      <c r="I162" t="str">
        <f>VLOOKUP(B162,Students!$A$1:$E$101,5,0)</f>
        <v>Electronics</v>
      </c>
      <c r="J162">
        <f>VLOOKUP(C162,Courses!$A$1:$C$11,3,FALSE)</f>
        <v>3</v>
      </c>
    </row>
    <row r="163" spans="1:10">
      <c r="A163" t="s">
        <v>368</v>
      </c>
      <c r="B163" t="s">
        <v>107</v>
      </c>
      <c r="C163" t="s">
        <v>144</v>
      </c>
      <c r="D163">
        <v>0</v>
      </c>
      <c r="E163" t="s">
        <v>204</v>
      </c>
      <c r="F163" t="str">
        <f>VLOOKUP(B163,Students!$A$1:$C$101,2,FALSE)</f>
        <v>James Clark</v>
      </c>
      <c r="G163" t="str">
        <f>VLOOKUP(B163,Students!$A$1:$C$101,3,FALSE)</f>
        <v>M</v>
      </c>
      <c r="H163" t="str">
        <f>VLOOKUP(C163,Courses!$A$1:$B$11,2,FALSE)</f>
        <v>Structural Analysis</v>
      </c>
      <c r="I163" t="str">
        <f>VLOOKUP(B163,Students!$A$1:$E$101,5,0)</f>
        <v>Electronics</v>
      </c>
      <c r="J163">
        <f>VLOOKUP(C163,Courses!$A$1:$C$11,3,FALSE)</f>
        <v>4</v>
      </c>
    </row>
    <row r="164" spans="1:10">
      <c r="A164" t="s">
        <v>369</v>
      </c>
      <c r="B164" t="s">
        <v>106</v>
      </c>
      <c r="C164" t="s">
        <v>132</v>
      </c>
      <c r="D164">
        <v>8</v>
      </c>
      <c r="E164" t="s">
        <v>210</v>
      </c>
      <c r="F164" t="str">
        <f>VLOOKUP(B164,Students!$A$1:$C$101,2,FALSE)</f>
        <v>Sneha Patil</v>
      </c>
      <c r="G164" t="str">
        <f>VLOOKUP(B164,Students!$A$1:$C$101,3,FALSE)</f>
        <v>F</v>
      </c>
      <c r="H164" t="str">
        <f>VLOOKUP(C164,Courses!$A$1:$B$11,2,FALSE)</f>
        <v>DBMS</v>
      </c>
      <c r="I164" t="str">
        <f>VLOOKUP(B164,Students!$A$1:$E$101,5,0)</f>
        <v>Electronics</v>
      </c>
      <c r="J164">
        <f>VLOOKUP(C164,Courses!$A$1:$C$11,3,FALSE)</f>
        <v>4</v>
      </c>
    </row>
    <row r="165" spans="1:10">
      <c r="A165" t="s">
        <v>370</v>
      </c>
      <c r="B165" t="s">
        <v>54</v>
      </c>
      <c r="C165" t="s">
        <v>132</v>
      </c>
      <c r="D165">
        <v>4</v>
      </c>
      <c r="E165" t="s">
        <v>204</v>
      </c>
      <c r="F165" t="str">
        <f>VLOOKUP(B165,Students!$A$1:$C$101,2,FALSE)</f>
        <v>Daniel Lee</v>
      </c>
      <c r="G165" t="str">
        <f>VLOOKUP(B165,Students!$A$1:$C$101,3,FALSE)</f>
        <v>F</v>
      </c>
      <c r="H165" t="str">
        <f>VLOOKUP(C165,Courses!$A$1:$B$11,2,FALSE)</f>
        <v>DBMS</v>
      </c>
      <c r="I165" t="str">
        <f>VLOOKUP(B165,Students!$A$1:$E$101,5,0)</f>
        <v>Civil</v>
      </c>
      <c r="J165">
        <f>VLOOKUP(C165,Courses!$A$1:$C$11,3,FALSE)</f>
        <v>4</v>
      </c>
    </row>
    <row r="166" spans="1:10">
      <c r="A166" t="s">
        <v>371</v>
      </c>
      <c r="B166" t="s">
        <v>124</v>
      </c>
      <c r="C166" t="s">
        <v>132</v>
      </c>
      <c r="D166">
        <v>4</v>
      </c>
      <c r="E166" t="s">
        <v>201</v>
      </c>
      <c r="F166" t="str">
        <f>VLOOKUP(B166,Students!$A$1:$C$101,2,FALSE)</f>
        <v>James Clark</v>
      </c>
      <c r="G166" t="str">
        <f>VLOOKUP(B166,Students!$A$1:$C$101,3,FALSE)</f>
        <v>F</v>
      </c>
      <c r="H166" t="str">
        <f>VLOOKUP(C166,Courses!$A$1:$B$11,2,FALSE)</f>
        <v>DBMS</v>
      </c>
      <c r="I166" t="str">
        <f>VLOOKUP(B166,Students!$A$1:$E$101,5,0)</f>
        <v>Mechanical</v>
      </c>
      <c r="J166">
        <f>VLOOKUP(C166,Courses!$A$1:$C$11,3,FALSE)</f>
        <v>4</v>
      </c>
    </row>
    <row r="167" spans="1:10">
      <c r="A167" t="s">
        <v>372</v>
      </c>
      <c r="B167" t="s">
        <v>115</v>
      </c>
      <c r="C167" t="s">
        <v>138</v>
      </c>
      <c r="D167">
        <v>10</v>
      </c>
      <c r="E167" t="s">
        <v>204</v>
      </c>
      <c r="F167" t="str">
        <f>VLOOKUP(B167,Students!$A$1:$C$101,2,FALSE)</f>
        <v>Sophia Wilson</v>
      </c>
      <c r="G167" t="str">
        <f>VLOOKUP(B167,Students!$A$1:$C$101,3,FALSE)</f>
        <v>F</v>
      </c>
      <c r="H167" t="str">
        <f>VLOOKUP(C167,Courses!$A$1:$B$11,2,FALSE)</f>
        <v>AI &amp; ML</v>
      </c>
      <c r="I167" t="str">
        <f>VLOOKUP(B167,Students!$A$1:$E$101,5,0)</f>
        <v>Computer Sci</v>
      </c>
      <c r="J167">
        <f>VLOOKUP(C167,Courses!$A$1:$C$11,3,FALSE)</f>
        <v>3</v>
      </c>
    </row>
    <row r="168" spans="1:10">
      <c r="A168" t="s">
        <v>373</v>
      </c>
      <c r="B168" t="s">
        <v>66</v>
      </c>
      <c r="C168" t="s">
        <v>130</v>
      </c>
      <c r="D168">
        <v>6</v>
      </c>
      <c r="E168" t="s">
        <v>210</v>
      </c>
      <c r="F168" t="str">
        <f>VLOOKUP(B168,Students!$A$1:$C$101,2,FALSE)</f>
        <v>Chris Evans</v>
      </c>
      <c r="G168" t="str">
        <f>VLOOKUP(B168,Students!$A$1:$C$101,3,FALSE)</f>
        <v>F</v>
      </c>
      <c r="H168" t="str">
        <f>VLOOKUP(C168,Courses!$A$1:$B$11,2,FALSE)</f>
        <v>Data Structures</v>
      </c>
      <c r="I168" t="str">
        <f>VLOOKUP(B168,Students!$A$1:$E$101,5,0)</f>
        <v>Management</v>
      </c>
      <c r="J168">
        <f>VLOOKUP(C168,Courses!$A$1:$C$11,3,FALSE)</f>
        <v>3</v>
      </c>
    </row>
    <row r="169" spans="1:10">
      <c r="A169" t="s">
        <v>374</v>
      </c>
      <c r="B169" t="s">
        <v>73</v>
      </c>
      <c r="C169" t="s">
        <v>142</v>
      </c>
      <c r="D169">
        <v>8</v>
      </c>
      <c r="E169" t="s">
        <v>201</v>
      </c>
      <c r="F169" t="str">
        <f>VLOOKUP(B169,Students!$A$1:$C$101,2,FALSE)</f>
        <v>Michael Brown</v>
      </c>
      <c r="G169" t="str">
        <f>VLOOKUP(B169,Students!$A$1:$C$101,3,FALSE)</f>
        <v>M</v>
      </c>
      <c r="H169" t="str">
        <f>VLOOKUP(C169,Courses!$A$1:$B$11,2,FALSE)</f>
        <v>Digital Logic</v>
      </c>
      <c r="I169" t="str">
        <f>VLOOKUP(B169,Students!$A$1:$E$101,5,0)</f>
        <v>Mechanical</v>
      </c>
      <c r="J169">
        <f>VLOOKUP(C169,Courses!$A$1:$C$11,3,FALSE)</f>
        <v>3</v>
      </c>
    </row>
    <row r="170" spans="1:10">
      <c r="A170" t="s">
        <v>375</v>
      </c>
      <c r="B170" t="s">
        <v>94</v>
      </c>
      <c r="C170" t="s">
        <v>142</v>
      </c>
      <c r="D170">
        <v>0</v>
      </c>
      <c r="E170" t="s">
        <v>201</v>
      </c>
      <c r="F170" t="str">
        <f>VLOOKUP(B170,Students!$A$1:$C$101,2,FALSE)</f>
        <v>Robert Taylor</v>
      </c>
      <c r="G170" t="str">
        <f>VLOOKUP(B170,Students!$A$1:$C$101,3,FALSE)</f>
        <v>F</v>
      </c>
      <c r="H170" t="str">
        <f>VLOOKUP(C170,Courses!$A$1:$B$11,2,FALSE)</f>
        <v>Digital Logic</v>
      </c>
      <c r="I170" t="str">
        <f>VLOOKUP(B170,Students!$A$1:$E$101,5,0)</f>
        <v>Mechanical</v>
      </c>
      <c r="J170">
        <f>VLOOKUP(C170,Courses!$A$1:$C$11,3,FALSE)</f>
        <v>3</v>
      </c>
    </row>
    <row r="171" spans="1:10">
      <c r="A171" t="s">
        <v>376</v>
      </c>
      <c r="B171" t="s">
        <v>44</v>
      </c>
      <c r="C171" t="s">
        <v>134</v>
      </c>
      <c r="D171">
        <v>10</v>
      </c>
      <c r="E171" t="s">
        <v>207</v>
      </c>
      <c r="F171" t="str">
        <f>VLOOKUP(B171,Students!$A$1:$C$101,2,FALSE)</f>
        <v>Sophia Wilson</v>
      </c>
      <c r="G171" t="str">
        <f>VLOOKUP(B171,Students!$A$1:$C$101,3,FALSE)</f>
        <v>M</v>
      </c>
      <c r="H171" t="str">
        <f>VLOOKUP(C171,Courses!$A$1:$B$11,2,FALSE)</f>
        <v>Thermodynamics</v>
      </c>
      <c r="I171" t="str">
        <f>VLOOKUP(B171,Students!$A$1:$E$101,5,0)</f>
        <v>Civil</v>
      </c>
      <c r="J171">
        <f>VLOOKUP(C171,Courses!$A$1:$C$11,3,FALSE)</f>
        <v>3</v>
      </c>
    </row>
    <row r="172" spans="1:10">
      <c r="A172" t="s">
        <v>377</v>
      </c>
      <c r="B172" t="s">
        <v>106</v>
      </c>
      <c r="C172" t="s">
        <v>136</v>
      </c>
      <c r="D172">
        <v>4</v>
      </c>
      <c r="E172" t="s">
        <v>201</v>
      </c>
      <c r="F172" t="str">
        <f>VLOOKUP(B172,Students!$A$1:$C$101,2,FALSE)</f>
        <v>Sneha Patil</v>
      </c>
      <c r="G172" t="str">
        <f>VLOOKUP(B172,Students!$A$1:$C$101,3,FALSE)</f>
        <v>F</v>
      </c>
      <c r="H172" t="str">
        <f>VLOOKUP(C172,Courses!$A$1:$B$11,2,FALSE)</f>
        <v>Circuits</v>
      </c>
      <c r="I172" t="str">
        <f>VLOOKUP(B172,Students!$A$1:$E$101,5,0)</f>
        <v>Electronics</v>
      </c>
      <c r="J172">
        <f>VLOOKUP(C172,Courses!$A$1:$C$11,3,FALSE)</f>
        <v>4</v>
      </c>
    </row>
    <row r="173" spans="1:10">
      <c r="A173" t="s">
        <v>378</v>
      </c>
      <c r="B173" t="s">
        <v>54</v>
      </c>
      <c r="C173" t="s">
        <v>144</v>
      </c>
      <c r="D173">
        <v>6</v>
      </c>
      <c r="E173" t="s">
        <v>207</v>
      </c>
      <c r="F173" t="str">
        <f>VLOOKUP(B173,Students!$A$1:$C$101,2,FALSE)</f>
        <v>Daniel Lee</v>
      </c>
      <c r="G173" t="str">
        <f>VLOOKUP(B173,Students!$A$1:$C$101,3,FALSE)</f>
        <v>F</v>
      </c>
      <c r="H173" t="str">
        <f>VLOOKUP(C173,Courses!$A$1:$B$11,2,FALSE)</f>
        <v>Structural Analysis</v>
      </c>
      <c r="I173" t="str">
        <f>VLOOKUP(B173,Students!$A$1:$E$101,5,0)</f>
        <v>Civil</v>
      </c>
      <c r="J173">
        <f>VLOOKUP(C173,Courses!$A$1:$C$11,3,FALSE)</f>
        <v>4</v>
      </c>
    </row>
    <row r="174" spans="1:10">
      <c r="A174" t="s">
        <v>379</v>
      </c>
      <c r="B174" t="s">
        <v>57</v>
      </c>
      <c r="C174" t="s">
        <v>130</v>
      </c>
      <c r="D174">
        <v>4</v>
      </c>
      <c r="E174" t="s">
        <v>210</v>
      </c>
      <c r="F174" t="str">
        <f>VLOOKUP(B174,Students!$A$1:$C$101,2,FALSE)</f>
        <v>Daniel Lee</v>
      </c>
      <c r="G174" t="str">
        <f>VLOOKUP(B174,Students!$A$1:$C$101,3,FALSE)</f>
        <v>F</v>
      </c>
      <c r="H174" t="str">
        <f>VLOOKUP(C174,Courses!$A$1:$B$11,2,FALSE)</f>
        <v>Data Structures</v>
      </c>
      <c r="I174" t="str">
        <f>VLOOKUP(B174,Students!$A$1:$E$101,5,0)</f>
        <v>Computer Sci</v>
      </c>
      <c r="J174">
        <f>VLOOKUP(C174,Courses!$A$1:$C$11,3,FALSE)</f>
        <v>3</v>
      </c>
    </row>
    <row r="175" spans="1:10">
      <c r="A175" t="s">
        <v>380</v>
      </c>
      <c r="B175" t="s">
        <v>113</v>
      </c>
      <c r="C175" t="s">
        <v>146</v>
      </c>
      <c r="D175">
        <v>8</v>
      </c>
      <c r="E175" t="s">
        <v>204</v>
      </c>
      <c r="F175" t="str">
        <f>VLOOKUP(B175,Students!$A$1:$C$101,2,FALSE)</f>
        <v>Nisha Gupta</v>
      </c>
      <c r="G175" t="str">
        <f>VLOOKUP(B175,Students!$A$1:$C$101,3,FALSE)</f>
        <v>F</v>
      </c>
      <c r="H175" t="str">
        <f>VLOOKUP(C175,Courses!$A$1:$B$11,2,FALSE)</f>
        <v>Marketing</v>
      </c>
      <c r="I175" t="str">
        <f>VLOOKUP(B175,Students!$A$1:$E$101,5,0)</f>
        <v>Electronics</v>
      </c>
      <c r="J175">
        <f>VLOOKUP(C175,Courses!$A$1:$C$11,3,FALSE)</f>
        <v>3</v>
      </c>
    </row>
    <row r="176" spans="1:10">
      <c r="A176" t="s">
        <v>381</v>
      </c>
      <c r="B176" t="s">
        <v>83</v>
      </c>
      <c r="C176" t="s">
        <v>140</v>
      </c>
      <c r="D176">
        <v>0</v>
      </c>
      <c r="E176" t="s">
        <v>210</v>
      </c>
      <c r="F176" t="str">
        <f>VLOOKUP(B176,Students!$A$1:$C$101,2,FALSE)</f>
        <v>Sara Khan</v>
      </c>
      <c r="G176" t="str">
        <f>VLOOKUP(B176,Students!$A$1:$C$101,3,FALSE)</f>
        <v>F</v>
      </c>
      <c r="H176" t="str">
        <f>VLOOKUP(C176,Courses!$A$1:$B$11,2,FALSE)</f>
        <v>Fluid Mechanics</v>
      </c>
      <c r="I176" t="str">
        <f>VLOOKUP(B176,Students!$A$1:$E$101,5,0)</f>
        <v>Computer Sci</v>
      </c>
      <c r="J176">
        <f>VLOOKUP(C176,Courses!$A$1:$C$11,3,FALSE)</f>
        <v>4</v>
      </c>
    </row>
    <row r="177" spans="1:10">
      <c r="A177" t="s">
        <v>382</v>
      </c>
      <c r="B177" t="s">
        <v>108</v>
      </c>
      <c r="C177" t="s">
        <v>142</v>
      </c>
      <c r="D177">
        <v>6</v>
      </c>
      <c r="E177" t="s">
        <v>207</v>
      </c>
      <c r="F177" t="str">
        <f>VLOOKUP(B177,Students!$A$1:$C$101,2,FALSE)</f>
        <v>Robert Taylor</v>
      </c>
      <c r="G177" t="str">
        <f>VLOOKUP(B177,Students!$A$1:$C$101,3,FALSE)</f>
        <v>M</v>
      </c>
      <c r="H177" t="str">
        <f>VLOOKUP(C177,Courses!$A$1:$B$11,2,FALSE)</f>
        <v>Digital Logic</v>
      </c>
      <c r="I177" t="str">
        <f>VLOOKUP(B177,Students!$A$1:$E$101,5,0)</f>
        <v>Management</v>
      </c>
      <c r="J177">
        <f>VLOOKUP(C177,Courses!$A$1:$C$11,3,FALSE)</f>
        <v>3</v>
      </c>
    </row>
    <row r="178" spans="1:10">
      <c r="A178" t="s">
        <v>383</v>
      </c>
      <c r="B178" t="s">
        <v>63</v>
      </c>
      <c r="C178" t="s">
        <v>136</v>
      </c>
      <c r="D178">
        <v>4</v>
      </c>
      <c r="E178" t="s">
        <v>207</v>
      </c>
      <c r="F178" t="str">
        <f>VLOOKUP(B178,Students!$A$1:$C$101,2,FALSE)</f>
        <v>Amit Kumar</v>
      </c>
      <c r="G178" t="str">
        <f>VLOOKUP(B178,Students!$A$1:$C$101,3,FALSE)</f>
        <v>F</v>
      </c>
      <c r="H178" t="str">
        <f>VLOOKUP(C178,Courses!$A$1:$B$11,2,FALSE)</f>
        <v>Circuits</v>
      </c>
      <c r="I178" t="str">
        <f>VLOOKUP(B178,Students!$A$1:$E$101,5,0)</f>
        <v>Computer Sci</v>
      </c>
      <c r="J178">
        <f>VLOOKUP(C178,Courses!$A$1:$C$11,3,FALSE)</f>
        <v>4</v>
      </c>
    </row>
    <row r="179" spans="1:10">
      <c r="A179" t="s">
        <v>384</v>
      </c>
      <c r="B179" t="s">
        <v>34</v>
      </c>
      <c r="C179" t="s">
        <v>136</v>
      </c>
      <c r="D179">
        <v>4</v>
      </c>
      <c r="E179" t="s">
        <v>210</v>
      </c>
      <c r="F179" t="str">
        <f>VLOOKUP(B179,Students!$A$1:$C$101,2,FALSE)</f>
        <v>Sneha Patil</v>
      </c>
      <c r="G179" t="str">
        <f>VLOOKUP(B179,Students!$A$1:$C$101,3,FALSE)</f>
        <v>M</v>
      </c>
      <c r="H179" t="str">
        <f>VLOOKUP(C179,Courses!$A$1:$B$11,2,FALSE)</f>
        <v>Circuits</v>
      </c>
      <c r="I179" t="str">
        <f>VLOOKUP(B179,Students!$A$1:$E$101,5,0)</f>
        <v>Mechanical</v>
      </c>
      <c r="J179">
        <f>VLOOKUP(C179,Courses!$A$1:$C$11,3,FALSE)</f>
        <v>4</v>
      </c>
    </row>
    <row r="180" spans="1:10">
      <c r="A180" t="s">
        <v>385</v>
      </c>
      <c r="B180" t="s">
        <v>100</v>
      </c>
      <c r="C180" t="s">
        <v>138</v>
      </c>
      <c r="D180">
        <v>6</v>
      </c>
      <c r="E180" t="s">
        <v>204</v>
      </c>
      <c r="F180" t="str">
        <f>VLOOKUP(B180,Students!$A$1:$C$101,2,FALSE)</f>
        <v>Priya Verma</v>
      </c>
      <c r="G180" t="str">
        <f>VLOOKUP(B180,Students!$A$1:$C$101,3,FALSE)</f>
        <v>M</v>
      </c>
      <c r="H180" t="str">
        <f>VLOOKUP(C180,Courses!$A$1:$B$11,2,FALSE)</f>
        <v>AI &amp; ML</v>
      </c>
      <c r="I180" t="str">
        <f>VLOOKUP(B180,Students!$A$1:$E$101,5,0)</f>
        <v>Management</v>
      </c>
      <c r="J180">
        <f>VLOOKUP(C180,Courses!$A$1:$C$11,3,FALSE)</f>
        <v>3</v>
      </c>
    </row>
    <row r="181" spans="1:10">
      <c r="A181" t="s">
        <v>386</v>
      </c>
      <c r="B181" t="s">
        <v>111</v>
      </c>
      <c r="C181" t="s">
        <v>142</v>
      </c>
      <c r="D181">
        <v>6</v>
      </c>
      <c r="E181" t="s">
        <v>204</v>
      </c>
      <c r="F181" t="str">
        <f>VLOOKUP(B181,Students!$A$1:$C$101,2,FALSE)</f>
        <v>Priya Verma</v>
      </c>
      <c r="G181" t="str">
        <f>VLOOKUP(B181,Students!$A$1:$C$101,3,FALSE)</f>
        <v>M</v>
      </c>
      <c r="H181" t="str">
        <f>VLOOKUP(C181,Courses!$A$1:$B$11,2,FALSE)</f>
        <v>Digital Logic</v>
      </c>
      <c r="I181" t="str">
        <f>VLOOKUP(B181,Students!$A$1:$E$101,5,0)</f>
        <v>Electronics</v>
      </c>
      <c r="J181">
        <f>VLOOKUP(C181,Courses!$A$1:$C$11,3,FALSE)</f>
        <v>3</v>
      </c>
    </row>
    <row r="182" spans="1:10">
      <c r="A182" t="s">
        <v>387</v>
      </c>
      <c r="B182" t="s">
        <v>99</v>
      </c>
      <c r="C182" t="s">
        <v>130</v>
      </c>
      <c r="D182">
        <v>0</v>
      </c>
      <c r="E182" t="s">
        <v>207</v>
      </c>
      <c r="F182" t="str">
        <f>VLOOKUP(B182,Students!$A$1:$C$101,2,FALSE)</f>
        <v>Raj Mehta</v>
      </c>
      <c r="G182" t="str">
        <f>VLOOKUP(B182,Students!$A$1:$C$101,3,FALSE)</f>
        <v>M</v>
      </c>
      <c r="H182" t="str">
        <f>VLOOKUP(C182,Courses!$A$1:$B$11,2,FALSE)</f>
        <v>Data Structures</v>
      </c>
      <c r="I182" t="str">
        <f>VLOOKUP(B182,Students!$A$1:$E$101,5,0)</f>
        <v>Civil</v>
      </c>
      <c r="J182">
        <f>VLOOKUP(C182,Courses!$A$1:$C$11,3,FALSE)</f>
        <v>3</v>
      </c>
    </row>
    <row r="183" spans="1:10">
      <c r="A183" t="s">
        <v>388</v>
      </c>
      <c r="B183" t="s">
        <v>61</v>
      </c>
      <c r="C183" t="s">
        <v>136</v>
      </c>
      <c r="D183">
        <v>0</v>
      </c>
      <c r="E183" t="s">
        <v>210</v>
      </c>
      <c r="F183" t="str">
        <f>VLOOKUP(B183,Students!$A$1:$C$101,2,FALSE)</f>
        <v>Raj Mehta</v>
      </c>
      <c r="G183" t="str">
        <f>VLOOKUP(B183,Students!$A$1:$C$101,3,FALSE)</f>
        <v>M</v>
      </c>
      <c r="H183" t="str">
        <f>VLOOKUP(C183,Courses!$A$1:$B$11,2,FALSE)</f>
        <v>Circuits</v>
      </c>
      <c r="I183" t="str">
        <f>VLOOKUP(B183,Students!$A$1:$E$101,5,0)</f>
        <v>Electronics</v>
      </c>
      <c r="J183">
        <f>VLOOKUP(C183,Courses!$A$1:$C$11,3,FALSE)</f>
        <v>4</v>
      </c>
    </row>
    <row r="184" spans="1:10">
      <c r="A184" t="s">
        <v>389</v>
      </c>
      <c r="B184" t="s">
        <v>53</v>
      </c>
      <c r="C184" t="s">
        <v>136</v>
      </c>
      <c r="D184">
        <v>0</v>
      </c>
      <c r="E184" t="s">
        <v>210</v>
      </c>
      <c r="F184" t="str">
        <f>VLOOKUP(B184,Students!$A$1:$C$101,2,FALSE)</f>
        <v>Sophia Wilson</v>
      </c>
      <c r="G184" t="str">
        <f>VLOOKUP(B184,Students!$A$1:$C$101,3,FALSE)</f>
        <v>M</v>
      </c>
      <c r="H184" t="str">
        <f>VLOOKUP(C184,Courses!$A$1:$B$11,2,FALSE)</f>
        <v>Circuits</v>
      </c>
      <c r="I184" t="str">
        <f>VLOOKUP(B184,Students!$A$1:$E$101,5,0)</f>
        <v>Mechanical</v>
      </c>
      <c r="J184">
        <f>VLOOKUP(C184,Courses!$A$1:$C$11,3,FALSE)</f>
        <v>4</v>
      </c>
    </row>
    <row r="185" spans="1:10">
      <c r="A185" t="s">
        <v>390</v>
      </c>
      <c r="B185" t="s">
        <v>113</v>
      </c>
      <c r="C185" t="s">
        <v>134</v>
      </c>
      <c r="D185">
        <v>10</v>
      </c>
      <c r="E185" t="s">
        <v>204</v>
      </c>
      <c r="F185" t="str">
        <f>VLOOKUP(B185,Students!$A$1:$C$101,2,FALSE)</f>
        <v>Nisha Gupta</v>
      </c>
      <c r="G185" t="str">
        <f>VLOOKUP(B185,Students!$A$1:$C$101,3,FALSE)</f>
        <v>F</v>
      </c>
      <c r="H185" t="str">
        <f>VLOOKUP(C185,Courses!$A$1:$B$11,2,FALSE)</f>
        <v>Thermodynamics</v>
      </c>
      <c r="I185" t="str">
        <f>VLOOKUP(B185,Students!$A$1:$E$101,5,0)</f>
        <v>Electronics</v>
      </c>
      <c r="J185">
        <f>VLOOKUP(C185,Courses!$A$1:$C$11,3,FALSE)</f>
        <v>3</v>
      </c>
    </row>
    <row r="186" spans="1:10">
      <c r="A186" t="s">
        <v>391</v>
      </c>
      <c r="B186" t="s">
        <v>64</v>
      </c>
      <c r="C186" t="s">
        <v>144</v>
      </c>
      <c r="D186">
        <v>10</v>
      </c>
      <c r="E186" t="s">
        <v>210</v>
      </c>
      <c r="F186" t="str">
        <f>VLOOKUP(B186,Students!$A$1:$C$101,2,FALSE)</f>
        <v>James Clark</v>
      </c>
      <c r="G186" t="str">
        <f>VLOOKUP(B186,Students!$A$1:$C$101,3,FALSE)</f>
        <v>F</v>
      </c>
      <c r="H186" t="str">
        <f>VLOOKUP(C186,Courses!$A$1:$B$11,2,FALSE)</f>
        <v>Structural Analysis</v>
      </c>
      <c r="I186" t="str">
        <f>VLOOKUP(B186,Students!$A$1:$E$101,5,0)</f>
        <v>Mechanical</v>
      </c>
      <c r="J186">
        <f>VLOOKUP(C186,Courses!$A$1:$C$11,3,FALSE)</f>
        <v>4</v>
      </c>
    </row>
    <row r="187" spans="1:10">
      <c r="A187" t="s">
        <v>392</v>
      </c>
      <c r="B187" t="s">
        <v>120</v>
      </c>
      <c r="C187" t="s">
        <v>134</v>
      </c>
      <c r="D187">
        <v>10</v>
      </c>
      <c r="E187" t="s">
        <v>210</v>
      </c>
      <c r="F187" t="str">
        <f>VLOOKUP(B187,Students!$A$1:$C$101,2,FALSE)</f>
        <v>Emily Davis</v>
      </c>
      <c r="G187" t="str">
        <f>VLOOKUP(B187,Students!$A$1:$C$101,3,FALSE)</f>
        <v>M</v>
      </c>
      <c r="H187" t="str">
        <f>VLOOKUP(C187,Courses!$A$1:$B$11,2,FALSE)</f>
        <v>Thermodynamics</v>
      </c>
      <c r="I187" t="str">
        <f>VLOOKUP(B187,Students!$A$1:$E$101,5,0)</f>
        <v>Mechanical</v>
      </c>
      <c r="J187">
        <f>VLOOKUP(C187,Courses!$A$1:$C$11,3,FALSE)</f>
        <v>3</v>
      </c>
    </row>
    <row r="188" spans="1:10">
      <c r="A188" t="s">
        <v>393</v>
      </c>
      <c r="B188" t="s">
        <v>66</v>
      </c>
      <c r="C188" t="s">
        <v>142</v>
      </c>
      <c r="D188">
        <v>8</v>
      </c>
      <c r="E188" t="s">
        <v>201</v>
      </c>
      <c r="F188" t="str">
        <f>VLOOKUP(B188,Students!$A$1:$C$101,2,FALSE)</f>
        <v>Chris Evans</v>
      </c>
      <c r="G188" t="str">
        <f>VLOOKUP(B188,Students!$A$1:$C$101,3,FALSE)</f>
        <v>F</v>
      </c>
      <c r="H188" t="str">
        <f>VLOOKUP(C188,Courses!$A$1:$B$11,2,FALSE)</f>
        <v>Digital Logic</v>
      </c>
      <c r="I188" t="str">
        <f>VLOOKUP(B188,Students!$A$1:$E$101,5,0)</f>
        <v>Management</v>
      </c>
      <c r="J188">
        <f>VLOOKUP(C188,Courses!$A$1:$C$11,3,FALSE)</f>
        <v>3</v>
      </c>
    </row>
    <row r="189" spans="1:10">
      <c r="A189" t="s">
        <v>394</v>
      </c>
      <c r="B189" t="s">
        <v>38</v>
      </c>
      <c r="C189" t="s">
        <v>146</v>
      </c>
      <c r="D189">
        <v>6</v>
      </c>
      <c r="E189" t="s">
        <v>210</v>
      </c>
      <c r="F189" t="str">
        <f>VLOOKUP(B189,Students!$A$1:$C$101,2,FALSE)</f>
        <v>Michael Brown</v>
      </c>
      <c r="G189" t="str">
        <f>VLOOKUP(B189,Students!$A$1:$C$101,3,FALSE)</f>
        <v>F</v>
      </c>
      <c r="H189" t="str">
        <f>VLOOKUP(C189,Courses!$A$1:$B$11,2,FALSE)</f>
        <v>Marketing</v>
      </c>
      <c r="I189" t="str">
        <f>VLOOKUP(B189,Students!$A$1:$E$101,5,0)</f>
        <v>Electronics</v>
      </c>
      <c r="J189">
        <f>VLOOKUP(C189,Courses!$A$1:$C$11,3,FALSE)</f>
        <v>3</v>
      </c>
    </row>
    <row r="190" spans="1:10">
      <c r="A190" t="s">
        <v>395</v>
      </c>
      <c r="B190" t="s">
        <v>44</v>
      </c>
      <c r="C190" t="s">
        <v>138</v>
      </c>
      <c r="D190">
        <v>4</v>
      </c>
      <c r="E190" t="s">
        <v>210</v>
      </c>
      <c r="F190" t="str">
        <f>VLOOKUP(B190,Students!$A$1:$C$101,2,FALSE)</f>
        <v>Sophia Wilson</v>
      </c>
      <c r="G190" t="str">
        <f>VLOOKUP(B190,Students!$A$1:$C$101,3,FALSE)</f>
        <v>M</v>
      </c>
      <c r="H190" t="str">
        <f>VLOOKUP(C190,Courses!$A$1:$B$11,2,FALSE)</f>
        <v>AI &amp; ML</v>
      </c>
      <c r="I190" t="str">
        <f>VLOOKUP(B190,Students!$A$1:$E$101,5,0)</f>
        <v>Civil</v>
      </c>
      <c r="J190">
        <f>VLOOKUP(C190,Courses!$A$1:$C$11,3,FALSE)</f>
        <v>3</v>
      </c>
    </row>
    <row r="191" spans="1:10">
      <c r="A191" t="s">
        <v>396</v>
      </c>
      <c r="B191" t="s">
        <v>122</v>
      </c>
      <c r="C191" t="s">
        <v>140</v>
      </c>
      <c r="D191">
        <v>10</v>
      </c>
      <c r="E191" t="s">
        <v>207</v>
      </c>
      <c r="F191" t="str">
        <f>VLOOKUP(B191,Students!$A$1:$C$101,2,FALSE)</f>
        <v>James Clark</v>
      </c>
      <c r="G191" t="str">
        <f>VLOOKUP(B191,Students!$A$1:$C$101,3,FALSE)</f>
        <v>F</v>
      </c>
      <c r="H191" t="str">
        <f>VLOOKUP(C191,Courses!$A$1:$B$11,2,FALSE)</f>
        <v>Fluid Mechanics</v>
      </c>
      <c r="I191" t="str">
        <f>VLOOKUP(B191,Students!$A$1:$E$101,5,0)</f>
        <v>Mechanical</v>
      </c>
      <c r="J191">
        <f>VLOOKUP(C191,Courses!$A$1:$C$11,3,FALSE)</f>
        <v>4</v>
      </c>
    </row>
    <row r="192" spans="1:10">
      <c r="A192" t="s">
        <v>397</v>
      </c>
      <c r="B192" t="s">
        <v>29</v>
      </c>
      <c r="C192" t="s">
        <v>134</v>
      </c>
      <c r="D192">
        <v>8</v>
      </c>
      <c r="E192" t="s">
        <v>207</v>
      </c>
      <c r="F192" t="str">
        <f>VLOOKUP(B192,Students!$A$1:$C$101,2,FALSE)</f>
        <v>Sara Khan</v>
      </c>
      <c r="G192" t="str">
        <f>VLOOKUP(B192,Students!$A$1:$C$101,3,FALSE)</f>
        <v>M</v>
      </c>
      <c r="H192" t="str">
        <f>VLOOKUP(C192,Courses!$A$1:$B$11,2,FALSE)</f>
        <v>Thermodynamics</v>
      </c>
      <c r="I192" t="str">
        <f>VLOOKUP(B192,Students!$A$1:$E$101,5,0)</f>
        <v>Electronics</v>
      </c>
      <c r="J192">
        <f>VLOOKUP(C192,Courses!$A$1:$C$11,3,FALSE)</f>
        <v>3</v>
      </c>
    </row>
    <row r="193" spans="1:10">
      <c r="A193" t="s">
        <v>398</v>
      </c>
      <c r="B193" t="s">
        <v>98</v>
      </c>
      <c r="C193" t="s">
        <v>140</v>
      </c>
      <c r="D193">
        <v>10</v>
      </c>
      <c r="E193" t="s">
        <v>207</v>
      </c>
      <c r="F193" t="str">
        <f>VLOOKUP(B193,Students!$A$1:$C$101,2,FALSE)</f>
        <v>Emily Davis</v>
      </c>
      <c r="G193" t="str">
        <f>VLOOKUP(B193,Students!$A$1:$C$101,3,FALSE)</f>
        <v>M</v>
      </c>
      <c r="H193" t="str">
        <f>VLOOKUP(C193,Courses!$A$1:$B$11,2,FALSE)</f>
        <v>Fluid Mechanics</v>
      </c>
      <c r="I193" t="str">
        <f>VLOOKUP(B193,Students!$A$1:$E$101,5,0)</f>
        <v>Computer Sci</v>
      </c>
      <c r="J193">
        <f>VLOOKUP(C193,Courses!$A$1:$C$11,3,FALSE)</f>
        <v>4</v>
      </c>
    </row>
    <row r="194" spans="1:10">
      <c r="A194" t="s">
        <v>399</v>
      </c>
      <c r="B194" t="s">
        <v>9</v>
      </c>
      <c r="C194" t="s">
        <v>138</v>
      </c>
      <c r="D194">
        <v>0</v>
      </c>
      <c r="E194" t="s">
        <v>204</v>
      </c>
      <c r="F194" t="str">
        <f>VLOOKUP(B194,Students!$A$1:$C$101,2,FALSE)</f>
        <v>Sneha Patil</v>
      </c>
      <c r="G194" t="str">
        <f>VLOOKUP(B194,Students!$A$1:$C$101,3,FALSE)</f>
        <v>M</v>
      </c>
      <c r="H194" t="str">
        <f>VLOOKUP(C194,Courses!$A$1:$B$11,2,FALSE)</f>
        <v>AI &amp; ML</v>
      </c>
      <c r="I194" t="str">
        <f>VLOOKUP(B194,Students!$A$1:$E$101,5,0)</f>
        <v>Computer Sci</v>
      </c>
      <c r="J194">
        <f>VLOOKUP(C194,Courses!$A$1:$C$11,3,FALSE)</f>
        <v>3</v>
      </c>
    </row>
    <row r="195" spans="1:10">
      <c r="A195" t="s">
        <v>400</v>
      </c>
      <c r="B195" t="s">
        <v>85</v>
      </c>
      <c r="C195" t="s">
        <v>140</v>
      </c>
      <c r="D195">
        <v>6</v>
      </c>
      <c r="E195" t="s">
        <v>207</v>
      </c>
      <c r="F195" t="str">
        <f>VLOOKUP(B195,Students!$A$1:$C$101,2,FALSE)</f>
        <v>Chris Evans</v>
      </c>
      <c r="G195" t="str">
        <f>VLOOKUP(B195,Students!$A$1:$C$101,3,FALSE)</f>
        <v>F</v>
      </c>
      <c r="H195" t="str">
        <f>VLOOKUP(C195,Courses!$A$1:$B$11,2,FALSE)</f>
        <v>Fluid Mechanics</v>
      </c>
      <c r="I195" t="str">
        <f>VLOOKUP(B195,Students!$A$1:$E$101,5,0)</f>
        <v>Mechanical</v>
      </c>
      <c r="J195">
        <f>VLOOKUP(C195,Courses!$A$1:$C$11,3,FALSE)</f>
        <v>4</v>
      </c>
    </row>
    <row r="196" spans="1:10">
      <c r="A196" t="s">
        <v>401</v>
      </c>
      <c r="B196" t="s">
        <v>108</v>
      </c>
      <c r="C196" t="s">
        <v>140</v>
      </c>
      <c r="D196">
        <v>10</v>
      </c>
      <c r="E196" t="s">
        <v>201</v>
      </c>
      <c r="F196" t="str">
        <f>VLOOKUP(B196,Students!$A$1:$C$101,2,FALSE)</f>
        <v>Robert Taylor</v>
      </c>
      <c r="G196" t="str">
        <f>VLOOKUP(B196,Students!$A$1:$C$101,3,FALSE)</f>
        <v>M</v>
      </c>
      <c r="H196" t="str">
        <f>VLOOKUP(C196,Courses!$A$1:$B$11,2,FALSE)</f>
        <v>Fluid Mechanics</v>
      </c>
      <c r="I196" t="str">
        <f>VLOOKUP(B196,Students!$A$1:$E$101,5,0)</f>
        <v>Management</v>
      </c>
      <c r="J196">
        <f>VLOOKUP(C196,Courses!$A$1:$C$11,3,FALSE)</f>
        <v>4</v>
      </c>
    </row>
    <row r="197" spans="1:10">
      <c r="A197" t="s">
        <v>402</v>
      </c>
      <c r="B197" t="s">
        <v>87</v>
      </c>
      <c r="C197" t="s">
        <v>130</v>
      </c>
      <c r="D197">
        <v>0</v>
      </c>
      <c r="E197" t="s">
        <v>210</v>
      </c>
      <c r="F197" t="str">
        <f>VLOOKUP(B197,Students!$A$1:$C$101,2,FALSE)</f>
        <v>Sara Khan</v>
      </c>
      <c r="G197" t="str">
        <f>VLOOKUP(B197,Students!$A$1:$C$101,3,FALSE)</f>
        <v>M</v>
      </c>
      <c r="H197" t="str">
        <f>VLOOKUP(C197,Courses!$A$1:$B$11,2,FALSE)</f>
        <v>Data Structures</v>
      </c>
      <c r="I197" t="str">
        <f>VLOOKUP(B197,Students!$A$1:$E$101,5,0)</f>
        <v>Civil</v>
      </c>
      <c r="J197">
        <f>VLOOKUP(C197,Courses!$A$1:$C$11,3,FALSE)</f>
        <v>3</v>
      </c>
    </row>
    <row r="198" spans="1:10">
      <c r="A198" t="s">
        <v>403</v>
      </c>
      <c r="B198" t="s">
        <v>105</v>
      </c>
      <c r="C198" t="s">
        <v>136</v>
      </c>
      <c r="D198">
        <v>10</v>
      </c>
      <c r="E198" t="s">
        <v>207</v>
      </c>
      <c r="F198" t="str">
        <f>VLOOKUP(B198,Students!$A$1:$C$101,2,FALSE)</f>
        <v>Raj Mehta</v>
      </c>
      <c r="G198" t="str">
        <f>VLOOKUP(B198,Students!$A$1:$C$101,3,FALSE)</f>
        <v>M</v>
      </c>
      <c r="H198" t="str">
        <f>VLOOKUP(C198,Courses!$A$1:$B$11,2,FALSE)</f>
        <v>Circuits</v>
      </c>
      <c r="I198" t="str">
        <f>VLOOKUP(B198,Students!$A$1:$E$101,5,0)</f>
        <v>Management</v>
      </c>
      <c r="J198">
        <f>VLOOKUP(C198,Courses!$A$1:$C$11,3,FALSE)</f>
        <v>4</v>
      </c>
    </row>
    <row r="199" spans="1:10">
      <c r="A199" t="s">
        <v>404</v>
      </c>
      <c r="B199" t="s">
        <v>116</v>
      </c>
      <c r="C199" t="s">
        <v>138</v>
      </c>
      <c r="D199">
        <v>4</v>
      </c>
      <c r="E199" t="s">
        <v>204</v>
      </c>
      <c r="F199" t="str">
        <f>VLOOKUP(B199,Students!$A$1:$C$101,2,FALSE)</f>
        <v>Amit Kumar</v>
      </c>
      <c r="G199" t="str">
        <f>VLOOKUP(B199,Students!$A$1:$C$101,3,FALSE)</f>
        <v>M</v>
      </c>
      <c r="H199" t="str">
        <f>VLOOKUP(C199,Courses!$A$1:$B$11,2,FALSE)</f>
        <v>AI &amp; ML</v>
      </c>
      <c r="I199" t="str">
        <f>VLOOKUP(B199,Students!$A$1:$E$101,5,0)</f>
        <v>Mechanical</v>
      </c>
      <c r="J199">
        <f>VLOOKUP(C199,Courses!$A$1:$C$11,3,FALSE)</f>
        <v>3</v>
      </c>
    </row>
    <row r="200" spans="1:10">
      <c r="A200" t="s">
        <v>405</v>
      </c>
      <c r="B200" t="s">
        <v>40</v>
      </c>
      <c r="C200" t="s">
        <v>130</v>
      </c>
      <c r="D200">
        <v>10</v>
      </c>
      <c r="E200" t="s">
        <v>210</v>
      </c>
      <c r="F200" t="str">
        <f>VLOOKUP(B200,Students!$A$1:$C$101,2,FALSE)</f>
        <v>Amit Kumar</v>
      </c>
      <c r="G200" t="str">
        <f>VLOOKUP(B200,Students!$A$1:$C$101,3,FALSE)</f>
        <v>M</v>
      </c>
      <c r="H200" t="str">
        <f>VLOOKUP(C200,Courses!$A$1:$B$11,2,FALSE)</f>
        <v>Data Structures</v>
      </c>
      <c r="I200" t="str">
        <f>VLOOKUP(B200,Students!$A$1:$E$101,5,0)</f>
        <v>Computer Sci</v>
      </c>
      <c r="J200">
        <f>VLOOKUP(C200,Courses!$A$1:$C$11,3,FALSE)</f>
        <v>3</v>
      </c>
    </row>
    <row r="201" spans="1:10">
      <c r="A201" t="s">
        <v>406</v>
      </c>
      <c r="B201" t="s">
        <v>90</v>
      </c>
      <c r="C201" t="s">
        <v>132</v>
      </c>
      <c r="D201">
        <v>10</v>
      </c>
      <c r="E201" t="s">
        <v>201</v>
      </c>
      <c r="F201" t="str">
        <f>VLOOKUP(B201,Students!$A$1:$C$101,2,FALSE)</f>
        <v>James Clark</v>
      </c>
      <c r="G201" t="str">
        <f>VLOOKUP(B201,Students!$A$1:$C$101,3,FALSE)</f>
        <v>M</v>
      </c>
      <c r="H201" t="str">
        <f>VLOOKUP(C201,Courses!$A$1:$B$11,2,FALSE)</f>
        <v>DBMS</v>
      </c>
      <c r="I201" t="str">
        <f>VLOOKUP(B201,Students!$A$1:$E$101,5,0)</f>
        <v>Civil</v>
      </c>
      <c r="J201">
        <f>VLOOKUP(C201,Courses!$A$1:$C$11,3,FALSE)</f>
        <v>4</v>
      </c>
    </row>
    <row r="202" spans="1:10">
      <c r="A202" t="s">
        <v>407</v>
      </c>
      <c r="B202" t="s">
        <v>95</v>
      </c>
      <c r="C202" t="s">
        <v>134</v>
      </c>
      <c r="D202">
        <v>4</v>
      </c>
      <c r="E202" t="s">
        <v>207</v>
      </c>
      <c r="F202" t="str">
        <f>VLOOKUP(B202,Students!$A$1:$C$101,2,FALSE)</f>
        <v>Sneha Patil</v>
      </c>
      <c r="G202" t="str">
        <f>VLOOKUP(B202,Students!$A$1:$C$101,3,FALSE)</f>
        <v>F</v>
      </c>
      <c r="H202" t="str">
        <f>VLOOKUP(C202,Courses!$A$1:$B$11,2,FALSE)</f>
        <v>Thermodynamics</v>
      </c>
      <c r="I202" t="str">
        <f>VLOOKUP(B202,Students!$A$1:$E$101,5,0)</f>
        <v>Computer Sci</v>
      </c>
      <c r="J202">
        <f>VLOOKUP(C202,Courses!$A$1:$C$11,3,FALSE)</f>
        <v>3</v>
      </c>
    </row>
    <row r="203" spans="1:10">
      <c r="A203" t="s">
        <v>408</v>
      </c>
      <c r="B203" t="s">
        <v>73</v>
      </c>
      <c r="C203" t="s">
        <v>146</v>
      </c>
      <c r="D203">
        <v>4</v>
      </c>
      <c r="E203" t="s">
        <v>201</v>
      </c>
      <c r="F203" t="str">
        <f>VLOOKUP(B203,Students!$A$1:$C$101,2,FALSE)</f>
        <v>Michael Brown</v>
      </c>
      <c r="G203" t="str">
        <f>VLOOKUP(B203,Students!$A$1:$C$101,3,FALSE)</f>
        <v>M</v>
      </c>
      <c r="H203" t="str">
        <f>VLOOKUP(C203,Courses!$A$1:$B$11,2,FALSE)</f>
        <v>Marketing</v>
      </c>
      <c r="I203" t="str">
        <f>VLOOKUP(B203,Students!$A$1:$E$101,5,0)</f>
        <v>Mechanical</v>
      </c>
      <c r="J203">
        <f>VLOOKUP(C203,Courses!$A$1:$C$11,3,FALSE)</f>
        <v>3</v>
      </c>
    </row>
    <row r="204" spans="1:10">
      <c r="A204" t="s">
        <v>409</v>
      </c>
      <c r="B204" t="s">
        <v>80</v>
      </c>
      <c r="C204" t="s">
        <v>132</v>
      </c>
      <c r="D204">
        <v>4</v>
      </c>
      <c r="E204" t="s">
        <v>207</v>
      </c>
      <c r="F204" t="str">
        <f>VLOOKUP(B204,Students!$A$1:$C$101,2,FALSE)</f>
        <v>Sneha Patil</v>
      </c>
      <c r="G204" t="str">
        <f>VLOOKUP(B204,Students!$A$1:$C$101,3,FALSE)</f>
        <v>M</v>
      </c>
      <c r="H204" t="str">
        <f>VLOOKUP(C204,Courses!$A$1:$B$11,2,FALSE)</f>
        <v>DBMS</v>
      </c>
      <c r="I204" t="str">
        <f>VLOOKUP(B204,Students!$A$1:$E$101,5,0)</f>
        <v>Mechanical</v>
      </c>
      <c r="J204">
        <f>VLOOKUP(C204,Courses!$A$1:$C$11,3,FALSE)</f>
        <v>4</v>
      </c>
    </row>
    <row r="205" spans="1:10">
      <c r="A205" t="s">
        <v>410</v>
      </c>
      <c r="B205" t="s">
        <v>60</v>
      </c>
      <c r="C205" t="s">
        <v>130</v>
      </c>
      <c r="D205">
        <v>6</v>
      </c>
      <c r="E205" t="s">
        <v>201</v>
      </c>
      <c r="F205" t="str">
        <f>VLOOKUP(B205,Students!$A$1:$C$101,2,FALSE)</f>
        <v>James Clark</v>
      </c>
      <c r="G205" t="str">
        <f>VLOOKUP(B205,Students!$A$1:$C$101,3,FALSE)</f>
        <v>M</v>
      </c>
      <c r="H205" t="str">
        <f>VLOOKUP(C205,Courses!$A$1:$B$11,2,FALSE)</f>
        <v>Data Structures</v>
      </c>
      <c r="I205" t="str">
        <f>VLOOKUP(B205,Students!$A$1:$E$101,5,0)</f>
        <v>Management</v>
      </c>
      <c r="J205">
        <f>VLOOKUP(C205,Courses!$A$1:$C$11,3,FALSE)</f>
        <v>3</v>
      </c>
    </row>
    <row r="206" spans="1:10">
      <c r="A206" t="s">
        <v>411</v>
      </c>
      <c r="B206" t="s">
        <v>83</v>
      </c>
      <c r="C206" t="s">
        <v>144</v>
      </c>
      <c r="D206">
        <v>8</v>
      </c>
      <c r="E206" t="s">
        <v>210</v>
      </c>
      <c r="F206" t="str">
        <f>VLOOKUP(B206,Students!$A$1:$C$101,2,FALSE)</f>
        <v>Sara Khan</v>
      </c>
      <c r="G206" t="str">
        <f>VLOOKUP(B206,Students!$A$1:$C$101,3,FALSE)</f>
        <v>F</v>
      </c>
      <c r="H206" t="str">
        <f>VLOOKUP(C206,Courses!$A$1:$B$11,2,FALSE)</f>
        <v>Structural Analysis</v>
      </c>
      <c r="I206" t="str">
        <f>VLOOKUP(B206,Students!$A$1:$E$101,5,0)</f>
        <v>Computer Sci</v>
      </c>
      <c r="J206">
        <f>VLOOKUP(C206,Courses!$A$1:$C$11,3,FALSE)</f>
        <v>4</v>
      </c>
    </row>
    <row r="207" spans="1:10">
      <c r="A207" t="s">
        <v>412</v>
      </c>
      <c r="B207" t="s">
        <v>33</v>
      </c>
      <c r="C207" t="s">
        <v>140</v>
      </c>
      <c r="D207">
        <v>0</v>
      </c>
      <c r="E207" t="s">
        <v>210</v>
      </c>
      <c r="F207" t="str">
        <f>VLOOKUP(B207,Students!$A$1:$C$101,2,FALSE)</f>
        <v>Emily Davis</v>
      </c>
      <c r="G207" t="str">
        <f>VLOOKUP(B207,Students!$A$1:$C$101,3,FALSE)</f>
        <v>F</v>
      </c>
      <c r="H207" t="str">
        <f>VLOOKUP(C207,Courses!$A$1:$B$11,2,FALSE)</f>
        <v>Fluid Mechanics</v>
      </c>
      <c r="I207" t="str">
        <f>VLOOKUP(B207,Students!$A$1:$E$101,5,0)</f>
        <v>Management</v>
      </c>
      <c r="J207">
        <f>VLOOKUP(C207,Courses!$A$1:$C$11,3,FALSE)</f>
        <v>4</v>
      </c>
    </row>
    <row r="208" spans="1:10">
      <c r="A208" t="s">
        <v>413</v>
      </c>
      <c r="B208" t="s">
        <v>24</v>
      </c>
      <c r="C208" t="s">
        <v>142</v>
      </c>
      <c r="D208">
        <v>6</v>
      </c>
      <c r="E208" t="s">
        <v>201</v>
      </c>
      <c r="F208" t="str">
        <f>VLOOKUP(B208,Students!$A$1:$C$101,2,FALSE)</f>
        <v>Amit Kumar</v>
      </c>
      <c r="G208" t="str">
        <f>VLOOKUP(B208,Students!$A$1:$C$101,3,FALSE)</f>
        <v>F</v>
      </c>
      <c r="H208" t="str">
        <f>VLOOKUP(C208,Courses!$A$1:$B$11,2,FALSE)</f>
        <v>Digital Logic</v>
      </c>
      <c r="I208" t="str">
        <f>VLOOKUP(B208,Students!$A$1:$E$101,5,0)</f>
        <v>Mechanical</v>
      </c>
      <c r="J208">
        <f>VLOOKUP(C208,Courses!$A$1:$C$11,3,FALSE)</f>
        <v>3</v>
      </c>
    </row>
    <row r="209" spans="1:10">
      <c r="A209" t="s">
        <v>414</v>
      </c>
      <c r="B209" t="s">
        <v>36</v>
      </c>
      <c r="C209" t="s">
        <v>144</v>
      </c>
      <c r="D209">
        <v>10</v>
      </c>
      <c r="E209" t="s">
        <v>201</v>
      </c>
      <c r="F209" t="str">
        <f>VLOOKUP(B209,Students!$A$1:$C$101,2,FALSE)</f>
        <v>Sophia Wilson</v>
      </c>
      <c r="G209" t="str">
        <f>VLOOKUP(B209,Students!$A$1:$C$101,3,FALSE)</f>
        <v>M</v>
      </c>
      <c r="H209" t="str">
        <f>VLOOKUP(C209,Courses!$A$1:$B$11,2,FALSE)</f>
        <v>Structural Analysis</v>
      </c>
      <c r="I209" t="str">
        <f>VLOOKUP(B209,Students!$A$1:$E$101,5,0)</f>
        <v>Electronics</v>
      </c>
      <c r="J209">
        <f>VLOOKUP(C209,Courses!$A$1:$C$11,3,FALSE)</f>
        <v>4</v>
      </c>
    </row>
    <row r="210" spans="1:10">
      <c r="A210" t="s">
        <v>415</v>
      </c>
      <c r="B210" t="s">
        <v>109</v>
      </c>
      <c r="C210" t="s">
        <v>148</v>
      </c>
      <c r="D210">
        <v>10</v>
      </c>
      <c r="E210" t="s">
        <v>204</v>
      </c>
      <c r="F210" t="str">
        <f>VLOOKUP(B210,Students!$A$1:$C$101,2,FALSE)</f>
        <v>Chris Evans</v>
      </c>
      <c r="G210" t="str">
        <f>VLOOKUP(B210,Students!$A$1:$C$101,3,FALSE)</f>
        <v>F</v>
      </c>
      <c r="H210" t="str">
        <f>VLOOKUP(C210,Courses!$A$1:$B$11,2,FALSE)</f>
        <v>Finance</v>
      </c>
      <c r="I210" t="str">
        <f>VLOOKUP(B210,Students!$A$1:$E$101,5,0)</f>
        <v>Management</v>
      </c>
      <c r="J210">
        <f>VLOOKUP(C210,Courses!$A$1:$C$11,3,FALSE)</f>
        <v>4</v>
      </c>
    </row>
    <row r="211" spans="1:10">
      <c r="A211" t="s">
        <v>416</v>
      </c>
      <c r="B211" t="s">
        <v>68</v>
      </c>
      <c r="C211" t="s">
        <v>136</v>
      </c>
      <c r="D211">
        <v>8</v>
      </c>
      <c r="E211" t="s">
        <v>201</v>
      </c>
      <c r="F211" t="str">
        <f>VLOOKUP(B211,Students!$A$1:$C$101,2,FALSE)</f>
        <v>Daniel Lee</v>
      </c>
      <c r="G211" t="str">
        <f>VLOOKUP(B211,Students!$A$1:$C$101,3,FALSE)</f>
        <v>M</v>
      </c>
      <c r="H211" t="str">
        <f>VLOOKUP(C211,Courses!$A$1:$B$11,2,FALSE)</f>
        <v>Circuits</v>
      </c>
      <c r="I211" t="str">
        <f>VLOOKUP(B211,Students!$A$1:$E$101,5,0)</f>
        <v>Civil</v>
      </c>
      <c r="J211">
        <f>VLOOKUP(C211,Courses!$A$1:$C$11,3,FALSE)</f>
        <v>4</v>
      </c>
    </row>
    <row r="212" spans="1:10">
      <c r="A212" t="s">
        <v>417</v>
      </c>
      <c r="B212" t="s">
        <v>27</v>
      </c>
      <c r="C212" t="s">
        <v>146</v>
      </c>
      <c r="D212">
        <v>8</v>
      </c>
      <c r="E212" t="s">
        <v>201</v>
      </c>
      <c r="F212" t="str">
        <f>VLOOKUP(B212,Students!$A$1:$C$101,2,FALSE)</f>
        <v>Daniel Lee</v>
      </c>
      <c r="G212" t="str">
        <f>VLOOKUP(B212,Students!$A$1:$C$101,3,FALSE)</f>
        <v>F</v>
      </c>
      <c r="H212" t="str">
        <f>VLOOKUP(C212,Courses!$A$1:$B$11,2,FALSE)</f>
        <v>Marketing</v>
      </c>
      <c r="I212" t="str">
        <f>VLOOKUP(B212,Students!$A$1:$E$101,5,0)</f>
        <v>Computer Sci</v>
      </c>
      <c r="J212">
        <f>VLOOKUP(C212,Courses!$A$1:$C$11,3,FALSE)</f>
        <v>3</v>
      </c>
    </row>
    <row r="213" spans="1:10">
      <c r="A213" t="s">
        <v>418</v>
      </c>
      <c r="B213" t="s">
        <v>54</v>
      </c>
      <c r="C213" t="s">
        <v>140</v>
      </c>
      <c r="D213">
        <v>8</v>
      </c>
      <c r="E213" t="s">
        <v>204</v>
      </c>
      <c r="F213" t="str">
        <f>VLOOKUP(B213,Students!$A$1:$C$101,2,FALSE)</f>
        <v>Daniel Lee</v>
      </c>
      <c r="G213" t="str">
        <f>VLOOKUP(B213,Students!$A$1:$C$101,3,FALSE)</f>
        <v>F</v>
      </c>
      <c r="H213" t="str">
        <f>VLOOKUP(C213,Courses!$A$1:$B$11,2,FALSE)</f>
        <v>Fluid Mechanics</v>
      </c>
      <c r="I213" t="str">
        <f>VLOOKUP(B213,Students!$A$1:$E$101,5,0)</f>
        <v>Civil</v>
      </c>
      <c r="J213">
        <f>VLOOKUP(C213,Courses!$A$1:$C$11,3,FALSE)</f>
        <v>4</v>
      </c>
    </row>
    <row r="214" spans="1:10">
      <c r="A214" t="s">
        <v>419</v>
      </c>
      <c r="B214" t="s">
        <v>60</v>
      </c>
      <c r="C214" t="s">
        <v>134</v>
      </c>
      <c r="D214">
        <v>8</v>
      </c>
      <c r="E214" t="s">
        <v>210</v>
      </c>
      <c r="F214" t="str">
        <f>VLOOKUP(B214,Students!$A$1:$C$101,2,FALSE)</f>
        <v>James Clark</v>
      </c>
      <c r="G214" t="str">
        <f>VLOOKUP(B214,Students!$A$1:$C$101,3,FALSE)</f>
        <v>M</v>
      </c>
      <c r="H214" t="str">
        <f>VLOOKUP(C214,Courses!$A$1:$B$11,2,FALSE)</f>
        <v>Thermodynamics</v>
      </c>
      <c r="I214" t="str">
        <f>VLOOKUP(B214,Students!$A$1:$E$101,5,0)</f>
        <v>Management</v>
      </c>
      <c r="J214">
        <f>VLOOKUP(C214,Courses!$A$1:$C$11,3,FALSE)</f>
        <v>3</v>
      </c>
    </row>
    <row r="215" spans="1:10">
      <c r="A215" t="s">
        <v>420</v>
      </c>
      <c r="B215" t="s">
        <v>45</v>
      </c>
      <c r="C215" t="s">
        <v>132</v>
      </c>
      <c r="D215">
        <v>10</v>
      </c>
      <c r="E215" t="s">
        <v>201</v>
      </c>
      <c r="F215" t="str">
        <f>VLOOKUP(B215,Students!$A$1:$C$101,2,FALSE)</f>
        <v>Robert Taylor</v>
      </c>
      <c r="G215" t="str">
        <f>VLOOKUP(B215,Students!$A$1:$C$101,3,FALSE)</f>
        <v>M</v>
      </c>
      <c r="H215" t="str">
        <f>VLOOKUP(C215,Courses!$A$1:$B$11,2,FALSE)</f>
        <v>DBMS</v>
      </c>
      <c r="I215" t="str">
        <f>VLOOKUP(B215,Students!$A$1:$E$101,5,0)</f>
        <v>Management</v>
      </c>
      <c r="J215">
        <f>VLOOKUP(C215,Courses!$A$1:$C$11,3,FALSE)</f>
        <v>4</v>
      </c>
    </row>
    <row r="216" spans="1:10">
      <c r="A216" t="s">
        <v>421</v>
      </c>
      <c r="B216" t="s">
        <v>9</v>
      </c>
      <c r="C216" t="s">
        <v>140</v>
      </c>
      <c r="D216">
        <v>8</v>
      </c>
      <c r="E216" t="s">
        <v>210</v>
      </c>
      <c r="F216" t="str">
        <f>VLOOKUP(B216,Students!$A$1:$C$101,2,FALSE)</f>
        <v>Sneha Patil</v>
      </c>
      <c r="G216" t="str">
        <f>VLOOKUP(B216,Students!$A$1:$C$101,3,FALSE)</f>
        <v>M</v>
      </c>
      <c r="H216" t="str">
        <f>VLOOKUP(C216,Courses!$A$1:$B$11,2,FALSE)</f>
        <v>Fluid Mechanics</v>
      </c>
      <c r="I216" t="str">
        <f>VLOOKUP(B216,Students!$A$1:$E$101,5,0)</f>
        <v>Computer Sci</v>
      </c>
      <c r="J216">
        <f>VLOOKUP(C216,Courses!$A$1:$C$11,3,FALSE)</f>
        <v>4</v>
      </c>
    </row>
    <row r="217" spans="1:10">
      <c r="A217" t="s">
        <v>422</v>
      </c>
      <c r="B217" t="s">
        <v>12</v>
      </c>
      <c r="C217" t="s">
        <v>134</v>
      </c>
      <c r="D217">
        <v>6</v>
      </c>
      <c r="E217" t="s">
        <v>204</v>
      </c>
      <c r="F217" t="str">
        <f>VLOOKUP(B217,Students!$A$1:$C$101,2,FALSE)</f>
        <v>Nisha Gupta</v>
      </c>
      <c r="G217" t="str">
        <f>VLOOKUP(B217,Students!$A$1:$C$101,3,FALSE)</f>
        <v>M</v>
      </c>
      <c r="H217" t="str">
        <f>VLOOKUP(C217,Courses!$A$1:$B$11,2,FALSE)</f>
        <v>Thermodynamics</v>
      </c>
      <c r="I217" t="str">
        <f>VLOOKUP(B217,Students!$A$1:$E$101,5,0)</f>
        <v>Computer Sci</v>
      </c>
      <c r="J217">
        <f>VLOOKUP(C217,Courses!$A$1:$C$11,3,FALSE)</f>
        <v>3</v>
      </c>
    </row>
    <row r="218" spans="1:10">
      <c r="A218" t="s">
        <v>423</v>
      </c>
      <c r="B218" t="s">
        <v>38</v>
      </c>
      <c r="C218" t="s">
        <v>142</v>
      </c>
      <c r="D218">
        <v>0</v>
      </c>
      <c r="E218" t="s">
        <v>204</v>
      </c>
      <c r="F218" t="str">
        <f>VLOOKUP(B218,Students!$A$1:$C$101,2,FALSE)</f>
        <v>Michael Brown</v>
      </c>
      <c r="G218" t="str">
        <f>VLOOKUP(B218,Students!$A$1:$C$101,3,FALSE)</f>
        <v>F</v>
      </c>
      <c r="H218" t="str">
        <f>VLOOKUP(C218,Courses!$A$1:$B$11,2,FALSE)</f>
        <v>Digital Logic</v>
      </c>
      <c r="I218" t="str">
        <f>VLOOKUP(B218,Students!$A$1:$E$101,5,0)</f>
        <v>Electronics</v>
      </c>
      <c r="J218">
        <f>VLOOKUP(C218,Courses!$A$1:$C$11,3,FALSE)</f>
        <v>3</v>
      </c>
    </row>
    <row r="219" spans="1:10">
      <c r="A219" t="s">
        <v>424</v>
      </c>
      <c r="B219" t="s">
        <v>122</v>
      </c>
      <c r="C219" t="s">
        <v>132</v>
      </c>
      <c r="D219">
        <v>4</v>
      </c>
      <c r="E219" t="s">
        <v>207</v>
      </c>
      <c r="F219" t="str">
        <f>VLOOKUP(B219,Students!$A$1:$C$101,2,FALSE)</f>
        <v>James Clark</v>
      </c>
      <c r="G219" t="str">
        <f>VLOOKUP(B219,Students!$A$1:$C$101,3,FALSE)</f>
        <v>F</v>
      </c>
      <c r="H219" t="str">
        <f>VLOOKUP(C219,Courses!$A$1:$B$11,2,FALSE)</f>
        <v>DBMS</v>
      </c>
      <c r="I219" t="str">
        <f>VLOOKUP(B219,Students!$A$1:$E$101,5,0)</f>
        <v>Mechanical</v>
      </c>
      <c r="J219">
        <f>VLOOKUP(C219,Courses!$A$1:$C$11,3,FALSE)</f>
        <v>4</v>
      </c>
    </row>
    <row r="220" spans="1:10">
      <c r="A220" t="s">
        <v>425</v>
      </c>
      <c r="B220" t="s">
        <v>126</v>
      </c>
      <c r="C220" t="s">
        <v>140</v>
      </c>
      <c r="D220">
        <v>0</v>
      </c>
      <c r="E220" t="s">
        <v>204</v>
      </c>
      <c r="F220" t="str">
        <f>VLOOKUP(B220,Students!$A$1:$C$101,2,FALSE)</f>
        <v>Ankit Sharma</v>
      </c>
      <c r="G220" t="str">
        <f>VLOOKUP(B220,Students!$A$1:$C$101,3,FALSE)</f>
        <v>M</v>
      </c>
      <c r="H220" t="str">
        <f>VLOOKUP(C220,Courses!$A$1:$B$11,2,FALSE)</f>
        <v>Fluid Mechanics</v>
      </c>
      <c r="I220" t="str">
        <f>VLOOKUP(B220,Students!$A$1:$E$101,5,0)</f>
        <v>Civil</v>
      </c>
      <c r="J220">
        <f>VLOOKUP(C220,Courses!$A$1:$C$11,3,FALSE)</f>
        <v>4</v>
      </c>
    </row>
    <row r="221" spans="1:10">
      <c r="A221" t="s">
        <v>426</v>
      </c>
      <c r="B221" t="s">
        <v>84</v>
      </c>
      <c r="C221" t="s">
        <v>146</v>
      </c>
      <c r="D221">
        <v>8</v>
      </c>
      <c r="E221" t="s">
        <v>204</v>
      </c>
      <c r="F221" t="str">
        <f>VLOOKUP(B221,Students!$A$1:$C$101,2,FALSE)</f>
        <v>Nisha Gupta</v>
      </c>
      <c r="G221" t="str">
        <f>VLOOKUP(B221,Students!$A$1:$C$101,3,FALSE)</f>
        <v>M</v>
      </c>
      <c r="H221" t="str">
        <f>VLOOKUP(C221,Courses!$A$1:$B$11,2,FALSE)</f>
        <v>Marketing</v>
      </c>
      <c r="I221" t="str">
        <f>VLOOKUP(B221,Students!$A$1:$E$101,5,0)</f>
        <v>Civil</v>
      </c>
      <c r="J221">
        <f>VLOOKUP(C221,Courses!$A$1:$C$11,3,FALSE)</f>
        <v>3</v>
      </c>
    </row>
    <row r="222" spans="1:10">
      <c r="A222" t="s">
        <v>427</v>
      </c>
      <c r="B222" t="s">
        <v>120</v>
      </c>
      <c r="C222" t="s">
        <v>146</v>
      </c>
      <c r="D222">
        <v>6</v>
      </c>
      <c r="E222" t="s">
        <v>207</v>
      </c>
      <c r="F222" t="str">
        <f>VLOOKUP(B222,Students!$A$1:$C$101,2,FALSE)</f>
        <v>Emily Davis</v>
      </c>
      <c r="G222" t="str">
        <f>VLOOKUP(B222,Students!$A$1:$C$101,3,FALSE)</f>
        <v>M</v>
      </c>
      <c r="H222" t="str">
        <f>VLOOKUP(C222,Courses!$A$1:$B$11,2,FALSE)</f>
        <v>Marketing</v>
      </c>
      <c r="I222" t="str">
        <f>VLOOKUP(B222,Students!$A$1:$E$101,5,0)</f>
        <v>Mechanical</v>
      </c>
      <c r="J222">
        <f>VLOOKUP(C222,Courses!$A$1:$C$11,3,FALSE)</f>
        <v>3</v>
      </c>
    </row>
    <row r="223" spans="1:10">
      <c r="A223" t="s">
        <v>428</v>
      </c>
      <c r="B223" t="s">
        <v>109</v>
      </c>
      <c r="C223" t="s">
        <v>130</v>
      </c>
      <c r="D223">
        <v>10</v>
      </c>
      <c r="E223" t="s">
        <v>207</v>
      </c>
      <c r="F223" t="str">
        <f>VLOOKUP(B223,Students!$A$1:$C$101,2,FALSE)</f>
        <v>Chris Evans</v>
      </c>
      <c r="G223" t="str">
        <f>VLOOKUP(B223,Students!$A$1:$C$101,3,FALSE)</f>
        <v>F</v>
      </c>
      <c r="H223" t="str">
        <f>VLOOKUP(C223,Courses!$A$1:$B$11,2,FALSE)</f>
        <v>Data Structures</v>
      </c>
      <c r="I223" t="str">
        <f>VLOOKUP(B223,Students!$A$1:$E$101,5,0)</f>
        <v>Management</v>
      </c>
      <c r="J223">
        <f>VLOOKUP(C223,Courses!$A$1:$C$11,3,FALSE)</f>
        <v>3</v>
      </c>
    </row>
    <row r="224" spans="1:10">
      <c r="A224" t="s">
        <v>429</v>
      </c>
      <c r="B224" t="s">
        <v>78</v>
      </c>
      <c r="C224" t="s">
        <v>142</v>
      </c>
      <c r="D224">
        <v>10</v>
      </c>
      <c r="E224" t="s">
        <v>207</v>
      </c>
      <c r="F224" t="str">
        <f>VLOOKUP(B224,Students!$A$1:$C$101,2,FALSE)</f>
        <v>James Clark</v>
      </c>
      <c r="G224" t="str">
        <f>VLOOKUP(B224,Students!$A$1:$C$101,3,FALSE)</f>
        <v>M</v>
      </c>
      <c r="H224" t="str">
        <f>VLOOKUP(C224,Courses!$A$1:$B$11,2,FALSE)</f>
        <v>Digital Logic</v>
      </c>
      <c r="I224" t="str">
        <f>VLOOKUP(B224,Students!$A$1:$E$101,5,0)</f>
        <v>Computer Sci</v>
      </c>
      <c r="J224">
        <f>VLOOKUP(C224,Courses!$A$1:$C$11,3,FALSE)</f>
        <v>3</v>
      </c>
    </row>
    <row r="225" spans="1:10">
      <c r="A225" t="s">
        <v>430</v>
      </c>
      <c r="B225" t="s">
        <v>118</v>
      </c>
      <c r="C225" t="s">
        <v>144</v>
      </c>
      <c r="D225">
        <v>10</v>
      </c>
      <c r="E225" t="s">
        <v>204</v>
      </c>
      <c r="F225" t="str">
        <f>VLOOKUP(B225,Students!$A$1:$C$101,2,FALSE)</f>
        <v>Ankit Sharma</v>
      </c>
      <c r="G225" t="str">
        <f>VLOOKUP(B225,Students!$A$1:$C$101,3,FALSE)</f>
        <v>M</v>
      </c>
      <c r="H225" t="str">
        <f>VLOOKUP(C225,Courses!$A$1:$B$11,2,FALSE)</f>
        <v>Structural Analysis</v>
      </c>
      <c r="I225" t="str">
        <f>VLOOKUP(B225,Students!$A$1:$E$101,5,0)</f>
        <v>Mechanical</v>
      </c>
      <c r="J225">
        <f>VLOOKUP(C225,Courses!$A$1:$C$11,3,FALSE)</f>
        <v>4</v>
      </c>
    </row>
    <row r="226" spans="1:10">
      <c r="A226" t="s">
        <v>431</v>
      </c>
      <c r="B226" t="s">
        <v>66</v>
      </c>
      <c r="C226" t="s">
        <v>148</v>
      </c>
      <c r="D226">
        <v>8</v>
      </c>
      <c r="E226" t="s">
        <v>204</v>
      </c>
      <c r="F226" t="str">
        <f>VLOOKUP(B226,Students!$A$1:$C$101,2,FALSE)</f>
        <v>Chris Evans</v>
      </c>
      <c r="G226" t="str">
        <f>VLOOKUP(B226,Students!$A$1:$C$101,3,FALSE)</f>
        <v>F</v>
      </c>
      <c r="H226" t="str">
        <f>VLOOKUP(C226,Courses!$A$1:$B$11,2,FALSE)</f>
        <v>Finance</v>
      </c>
      <c r="I226" t="str">
        <f>VLOOKUP(B226,Students!$A$1:$E$101,5,0)</f>
        <v>Management</v>
      </c>
      <c r="J226">
        <f>VLOOKUP(C226,Courses!$A$1:$C$11,3,FALSE)</f>
        <v>4</v>
      </c>
    </row>
    <row r="227" spans="1:10">
      <c r="A227" t="s">
        <v>432</v>
      </c>
      <c r="B227" t="s">
        <v>38</v>
      </c>
      <c r="C227" t="s">
        <v>138</v>
      </c>
      <c r="D227">
        <v>0</v>
      </c>
      <c r="E227" t="s">
        <v>210</v>
      </c>
      <c r="F227" t="str">
        <f>VLOOKUP(B227,Students!$A$1:$C$101,2,FALSE)</f>
        <v>Michael Brown</v>
      </c>
      <c r="G227" t="str">
        <f>VLOOKUP(B227,Students!$A$1:$C$101,3,FALSE)</f>
        <v>F</v>
      </c>
      <c r="H227" t="str">
        <f>VLOOKUP(C227,Courses!$A$1:$B$11,2,FALSE)</f>
        <v>AI &amp; ML</v>
      </c>
      <c r="I227" t="str">
        <f>VLOOKUP(B227,Students!$A$1:$E$101,5,0)</f>
        <v>Electronics</v>
      </c>
      <c r="J227">
        <f>VLOOKUP(C227,Courses!$A$1:$C$11,3,FALSE)</f>
        <v>3</v>
      </c>
    </row>
    <row r="228" spans="1:10">
      <c r="A228" t="s">
        <v>433</v>
      </c>
      <c r="B228" t="s">
        <v>74</v>
      </c>
      <c r="C228" t="s">
        <v>148</v>
      </c>
      <c r="D228">
        <v>0</v>
      </c>
      <c r="E228" t="s">
        <v>210</v>
      </c>
      <c r="F228" t="str">
        <f>VLOOKUP(B228,Students!$A$1:$C$101,2,FALSE)</f>
        <v>Priya Verma</v>
      </c>
      <c r="G228" t="str">
        <f>VLOOKUP(B228,Students!$A$1:$C$101,3,FALSE)</f>
        <v>F</v>
      </c>
      <c r="H228" t="str">
        <f>VLOOKUP(C228,Courses!$A$1:$B$11,2,FALSE)</f>
        <v>Finance</v>
      </c>
      <c r="I228" t="str">
        <f>VLOOKUP(B228,Students!$A$1:$E$101,5,0)</f>
        <v>Management</v>
      </c>
      <c r="J228">
        <f>VLOOKUP(C228,Courses!$A$1:$C$11,3,FALSE)</f>
        <v>4</v>
      </c>
    </row>
    <row r="229" spans="1:10">
      <c r="A229" t="s">
        <v>434</v>
      </c>
      <c r="B229" t="s">
        <v>85</v>
      </c>
      <c r="C229" t="s">
        <v>146</v>
      </c>
      <c r="D229">
        <v>0</v>
      </c>
      <c r="E229" t="s">
        <v>207</v>
      </c>
      <c r="F229" t="str">
        <f>VLOOKUP(B229,Students!$A$1:$C$101,2,FALSE)</f>
        <v>Chris Evans</v>
      </c>
      <c r="G229" t="str">
        <f>VLOOKUP(B229,Students!$A$1:$C$101,3,FALSE)</f>
        <v>F</v>
      </c>
      <c r="H229" t="str">
        <f>VLOOKUP(C229,Courses!$A$1:$B$11,2,FALSE)</f>
        <v>Marketing</v>
      </c>
      <c r="I229" t="str">
        <f>VLOOKUP(B229,Students!$A$1:$E$101,5,0)</f>
        <v>Mechanical</v>
      </c>
      <c r="J229">
        <f>VLOOKUP(C229,Courses!$A$1:$C$11,3,FALSE)</f>
        <v>3</v>
      </c>
    </row>
    <row r="230" spans="1:10">
      <c r="A230" t="s">
        <v>435</v>
      </c>
      <c r="B230" t="s">
        <v>33</v>
      </c>
      <c r="C230" t="s">
        <v>132</v>
      </c>
      <c r="D230">
        <v>0</v>
      </c>
      <c r="E230" t="s">
        <v>201</v>
      </c>
      <c r="F230" t="str">
        <f>VLOOKUP(B230,Students!$A$1:$C$101,2,FALSE)</f>
        <v>Emily Davis</v>
      </c>
      <c r="G230" t="str">
        <f>VLOOKUP(B230,Students!$A$1:$C$101,3,FALSE)</f>
        <v>F</v>
      </c>
      <c r="H230" t="str">
        <f>VLOOKUP(C230,Courses!$A$1:$B$11,2,FALSE)</f>
        <v>DBMS</v>
      </c>
      <c r="I230" t="str">
        <f>VLOOKUP(B230,Students!$A$1:$E$101,5,0)</f>
        <v>Management</v>
      </c>
      <c r="J230">
        <f>VLOOKUP(C230,Courses!$A$1:$C$11,3,FALSE)</f>
        <v>4</v>
      </c>
    </row>
    <row r="231" spans="1:10">
      <c r="A231" t="s">
        <v>436</v>
      </c>
      <c r="B231" t="s">
        <v>82</v>
      </c>
      <c r="C231" t="s">
        <v>144</v>
      </c>
      <c r="D231">
        <v>8</v>
      </c>
      <c r="E231" t="s">
        <v>207</v>
      </c>
      <c r="F231" t="str">
        <f>VLOOKUP(B231,Students!$A$1:$C$101,2,FALSE)</f>
        <v>Priya Verma</v>
      </c>
      <c r="G231" t="str">
        <f>VLOOKUP(B231,Students!$A$1:$C$101,3,FALSE)</f>
        <v>M</v>
      </c>
      <c r="H231" t="str">
        <f>VLOOKUP(C231,Courses!$A$1:$B$11,2,FALSE)</f>
        <v>Structural Analysis</v>
      </c>
      <c r="I231" t="str">
        <f>VLOOKUP(B231,Students!$A$1:$E$101,5,0)</f>
        <v>Electronics</v>
      </c>
      <c r="J231">
        <f>VLOOKUP(C231,Courses!$A$1:$C$11,3,FALSE)</f>
        <v>4</v>
      </c>
    </row>
    <row r="232" spans="1:10">
      <c r="A232" t="s">
        <v>437</v>
      </c>
      <c r="B232" t="s">
        <v>69</v>
      </c>
      <c r="C232" t="s">
        <v>144</v>
      </c>
      <c r="D232">
        <v>4</v>
      </c>
      <c r="E232" t="s">
        <v>207</v>
      </c>
      <c r="F232" t="str">
        <f>VLOOKUP(B232,Students!$A$1:$C$101,2,FALSE)</f>
        <v>Emily Davis</v>
      </c>
      <c r="G232" t="str">
        <f>VLOOKUP(B232,Students!$A$1:$C$101,3,FALSE)</f>
        <v>M</v>
      </c>
      <c r="H232" t="str">
        <f>VLOOKUP(C232,Courses!$A$1:$B$11,2,FALSE)</f>
        <v>Structural Analysis</v>
      </c>
      <c r="I232" t="str">
        <f>VLOOKUP(B232,Students!$A$1:$E$101,5,0)</f>
        <v>Management</v>
      </c>
      <c r="J232">
        <f>VLOOKUP(C232,Courses!$A$1:$C$11,3,FALSE)</f>
        <v>4</v>
      </c>
    </row>
    <row r="233" spans="1:10">
      <c r="A233" t="s">
        <v>438</v>
      </c>
      <c r="B233" t="s">
        <v>120</v>
      </c>
      <c r="C233" t="s">
        <v>132</v>
      </c>
      <c r="D233">
        <v>6</v>
      </c>
      <c r="E233" t="s">
        <v>207</v>
      </c>
      <c r="F233" t="str">
        <f>VLOOKUP(B233,Students!$A$1:$C$101,2,FALSE)</f>
        <v>Emily Davis</v>
      </c>
      <c r="G233" t="str">
        <f>VLOOKUP(B233,Students!$A$1:$C$101,3,FALSE)</f>
        <v>M</v>
      </c>
      <c r="H233" t="str">
        <f>VLOOKUP(C233,Courses!$A$1:$B$11,2,FALSE)</f>
        <v>DBMS</v>
      </c>
      <c r="I233" t="str">
        <f>VLOOKUP(B233,Students!$A$1:$E$101,5,0)</f>
        <v>Mechanical</v>
      </c>
      <c r="J233">
        <f>VLOOKUP(C233,Courses!$A$1:$C$11,3,FALSE)</f>
        <v>4</v>
      </c>
    </row>
    <row r="234" spans="1:10">
      <c r="A234" t="s">
        <v>439</v>
      </c>
      <c r="B234" t="s">
        <v>65</v>
      </c>
      <c r="C234" t="s">
        <v>138</v>
      </c>
      <c r="D234">
        <v>6</v>
      </c>
      <c r="E234" t="s">
        <v>201</v>
      </c>
      <c r="F234" t="str">
        <f>VLOOKUP(B234,Students!$A$1:$C$101,2,FALSE)</f>
        <v>Ankit Sharma</v>
      </c>
      <c r="G234" t="str">
        <f>VLOOKUP(B234,Students!$A$1:$C$101,3,FALSE)</f>
        <v>M</v>
      </c>
      <c r="H234" t="str">
        <f>VLOOKUP(C234,Courses!$A$1:$B$11,2,FALSE)</f>
        <v>AI &amp; ML</v>
      </c>
      <c r="I234" t="str">
        <f>VLOOKUP(B234,Students!$A$1:$E$101,5,0)</f>
        <v>Computer Sci</v>
      </c>
      <c r="J234">
        <f>VLOOKUP(C234,Courses!$A$1:$C$11,3,FALSE)</f>
        <v>3</v>
      </c>
    </row>
    <row r="235" spans="1:10">
      <c r="A235" t="s">
        <v>440</v>
      </c>
      <c r="B235" t="s">
        <v>114</v>
      </c>
      <c r="C235" t="s">
        <v>144</v>
      </c>
      <c r="D235">
        <v>10</v>
      </c>
      <c r="E235" t="s">
        <v>204</v>
      </c>
      <c r="F235" t="str">
        <f>VLOOKUP(B235,Students!$A$1:$C$101,2,FALSE)</f>
        <v>James Clark</v>
      </c>
      <c r="G235" t="str">
        <f>VLOOKUP(B235,Students!$A$1:$C$101,3,FALSE)</f>
        <v>M</v>
      </c>
      <c r="H235" t="str">
        <f>VLOOKUP(C235,Courses!$A$1:$B$11,2,FALSE)</f>
        <v>Structural Analysis</v>
      </c>
      <c r="I235" t="str">
        <f>VLOOKUP(B235,Students!$A$1:$E$101,5,0)</f>
        <v>Civil</v>
      </c>
      <c r="J235">
        <f>VLOOKUP(C235,Courses!$A$1:$C$11,3,FALSE)</f>
        <v>4</v>
      </c>
    </row>
    <row r="236" spans="1:10">
      <c r="A236" t="s">
        <v>441</v>
      </c>
      <c r="B236" t="s">
        <v>30</v>
      </c>
      <c r="C236" t="s">
        <v>132</v>
      </c>
      <c r="D236">
        <v>4</v>
      </c>
      <c r="E236" t="s">
        <v>204</v>
      </c>
      <c r="F236" t="str">
        <f>VLOOKUP(B236,Students!$A$1:$C$101,2,FALSE)</f>
        <v>Raj Mehta</v>
      </c>
      <c r="G236" t="str">
        <f>VLOOKUP(B236,Students!$A$1:$C$101,3,FALSE)</f>
        <v>F</v>
      </c>
      <c r="H236" t="str">
        <f>VLOOKUP(C236,Courses!$A$1:$B$11,2,FALSE)</f>
        <v>DBMS</v>
      </c>
      <c r="I236" t="str">
        <f>VLOOKUP(B236,Students!$A$1:$E$101,5,0)</f>
        <v>Civil</v>
      </c>
      <c r="J236">
        <f>VLOOKUP(C236,Courses!$A$1:$C$11,3,FALSE)</f>
        <v>4</v>
      </c>
    </row>
    <row r="237" spans="1:10">
      <c r="A237" t="s">
        <v>442</v>
      </c>
      <c r="B237" t="s">
        <v>122</v>
      </c>
      <c r="C237" t="s">
        <v>140</v>
      </c>
      <c r="D237">
        <v>8</v>
      </c>
      <c r="E237" t="s">
        <v>204</v>
      </c>
      <c r="F237" t="str">
        <f>VLOOKUP(B237,Students!$A$1:$C$101,2,FALSE)</f>
        <v>James Clark</v>
      </c>
      <c r="G237" t="str">
        <f>VLOOKUP(B237,Students!$A$1:$C$101,3,FALSE)</f>
        <v>F</v>
      </c>
      <c r="H237" t="str">
        <f>VLOOKUP(C237,Courses!$A$1:$B$11,2,FALSE)</f>
        <v>Fluid Mechanics</v>
      </c>
      <c r="I237" t="str">
        <f>VLOOKUP(B237,Students!$A$1:$E$101,5,0)</f>
        <v>Mechanical</v>
      </c>
      <c r="J237">
        <f>VLOOKUP(C237,Courses!$A$1:$C$11,3,FALSE)</f>
        <v>4</v>
      </c>
    </row>
    <row r="238" spans="1:10">
      <c r="A238" t="s">
        <v>443</v>
      </c>
      <c r="B238" t="s">
        <v>102</v>
      </c>
      <c r="C238" t="s">
        <v>146</v>
      </c>
      <c r="D238">
        <v>0</v>
      </c>
      <c r="E238" t="s">
        <v>210</v>
      </c>
      <c r="F238" t="str">
        <f>VLOOKUP(B238,Students!$A$1:$C$101,2,FALSE)</f>
        <v>Sneha Patil</v>
      </c>
      <c r="G238" t="str">
        <f>VLOOKUP(B238,Students!$A$1:$C$101,3,FALSE)</f>
        <v>F</v>
      </c>
      <c r="H238" t="str">
        <f>VLOOKUP(C238,Courses!$A$1:$B$11,2,FALSE)</f>
        <v>Marketing</v>
      </c>
      <c r="I238" t="str">
        <f>VLOOKUP(B238,Students!$A$1:$E$101,5,0)</f>
        <v>Electronics</v>
      </c>
      <c r="J238">
        <f>VLOOKUP(C238,Courses!$A$1:$C$11,3,FALSE)</f>
        <v>3</v>
      </c>
    </row>
    <row r="239" spans="1:10">
      <c r="A239" t="s">
        <v>444</v>
      </c>
      <c r="B239" t="s">
        <v>112</v>
      </c>
      <c r="C239" t="s">
        <v>132</v>
      </c>
      <c r="D239">
        <v>4</v>
      </c>
      <c r="E239" t="s">
        <v>210</v>
      </c>
      <c r="F239" t="str">
        <f>VLOOKUP(B239,Students!$A$1:$C$101,2,FALSE)</f>
        <v>Robert Taylor</v>
      </c>
      <c r="G239" t="str">
        <f>VLOOKUP(B239,Students!$A$1:$C$101,3,FALSE)</f>
        <v>M</v>
      </c>
      <c r="H239" t="str">
        <f>VLOOKUP(C239,Courses!$A$1:$B$11,2,FALSE)</f>
        <v>DBMS</v>
      </c>
      <c r="I239" t="str">
        <f>VLOOKUP(B239,Students!$A$1:$E$101,5,0)</f>
        <v>Mechanical</v>
      </c>
      <c r="J239">
        <f>VLOOKUP(C239,Courses!$A$1:$C$11,3,FALSE)</f>
        <v>4</v>
      </c>
    </row>
    <row r="240" spans="1:10">
      <c r="A240" t="s">
        <v>445</v>
      </c>
      <c r="B240" t="s">
        <v>112</v>
      </c>
      <c r="C240" t="s">
        <v>142</v>
      </c>
      <c r="D240">
        <v>10</v>
      </c>
      <c r="E240" t="s">
        <v>210</v>
      </c>
      <c r="F240" t="str">
        <f>VLOOKUP(B240,Students!$A$1:$C$101,2,FALSE)</f>
        <v>Robert Taylor</v>
      </c>
      <c r="G240" t="str">
        <f>VLOOKUP(B240,Students!$A$1:$C$101,3,FALSE)</f>
        <v>M</v>
      </c>
      <c r="H240" t="str">
        <f>VLOOKUP(C240,Courses!$A$1:$B$11,2,FALSE)</f>
        <v>Digital Logic</v>
      </c>
      <c r="I240" t="str">
        <f>VLOOKUP(B240,Students!$A$1:$E$101,5,0)</f>
        <v>Mechanical</v>
      </c>
      <c r="J240">
        <f>VLOOKUP(C240,Courses!$A$1:$C$11,3,FALSE)</f>
        <v>3</v>
      </c>
    </row>
    <row r="241" spans="1:10">
      <c r="A241" t="s">
        <v>446</v>
      </c>
      <c r="B241" t="s">
        <v>103</v>
      </c>
      <c r="C241" t="s">
        <v>138</v>
      </c>
      <c r="D241">
        <v>6</v>
      </c>
      <c r="E241" t="s">
        <v>204</v>
      </c>
      <c r="F241" t="str">
        <f>VLOOKUP(B241,Students!$A$1:$C$101,2,FALSE)</f>
        <v>Sara Khan</v>
      </c>
      <c r="G241" t="str">
        <f>VLOOKUP(B241,Students!$A$1:$C$101,3,FALSE)</f>
        <v>M</v>
      </c>
      <c r="H241" t="str">
        <f>VLOOKUP(C241,Courses!$A$1:$B$11,2,FALSE)</f>
        <v>AI &amp; ML</v>
      </c>
      <c r="I241" t="str">
        <f>VLOOKUP(B241,Students!$A$1:$E$101,5,0)</f>
        <v>Civil</v>
      </c>
      <c r="J241">
        <f>VLOOKUP(C241,Courses!$A$1:$C$11,3,FALSE)</f>
        <v>3</v>
      </c>
    </row>
    <row r="242" spans="1:10">
      <c r="A242" t="s">
        <v>447</v>
      </c>
      <c r="B242" t="s">
        <v>100</v>
      </c>
      <c r="C242" t="s">
        <v>146</v>
      </c>
      <c r="D242">
        <v>8</v>
      </c>
      <c r="E242" t="s">
        <v>201</v>
      </c>
      <c r="F242" t="str">
        <f>VLOOKUP(B242,Students!$A$1:$C$101,2,FALSE)</f>
        <v>Priya Verma</v>
      </c>
      <c r="G242" t="str">
        <f>VLOOKUP(B242,Students!$A$1:$C$101,3,FALSE)</f>
        <v>M</v>
      </c>
      <c r="H242" t="str">
        <f>VLOOKUP(C242,Courses!$A$1:$B$11,2,FALSE)</f>
        <v>Marketing</v>
      </c>
      <c r="I242" t="str">
        <f>VLOOKUP(B242,Students!$A$1:$E$101,5,0)</f>
        <v>Management</v>
      </c>
      <c r="J242">
        <f>VLOOKUP(C242,Courses!$A$1:$C$11,3,FALSE)</f>
        <v>3</v>
      </c>
    </row>
    <row r="243" spans="1:10">
      <c r="A243" t="s">
        <v>448</v>
      </c>
      <c r="B243" t="s">
        <v>111</v>
      </c>
      <c r="C243" t="s">
        <v>144</v>
      </c>
      <c r="D243">
        <v>8</v>
      </c>
      <c r="E243" t="s">
        <v>204</v>
      </c>
      <c r="F243" t="str">
        <f>VLOOKUP(B243,Students!$A$1:$C$101,2,FALSE)</f>
        <v>Priya Verma</v>
      </c>
      <c r="G243" t="str">
        <f>VLOOKUP(B243,Students!$A$1:$C$101,3,FALSE)</f>
        <v>M</v>
      </c>
      <c r="H243" t="str">
        <f>VLOOKUP(C243,Courses!$A$1:$B$11,2,FALSE)</f>
        <v>Structural Analysis</v>
      </c>
      <c r="I243" t="str">
        <f>VLOOKUP(B243,Students!$A$1:$E$101,5,0)</f>
        <v>Electronics</v>
      </c>
      <c r="J243">
        <f>VLOOKUP(C243,Courses!$A$1:$C$11,3,FALSE)</f>
        <v>4</v>
      </c>
    </row>
    <row r="244" spans="1:10">
      <c r="A244" t="s">
        <v>449</v>
      </c>
      <c r="B244" t="s">
        <v>70</v>
      </c>
      <c r="C244" t="s">
        <v>146</v>
      </c>
      <c r="D244">
        <v>6</v>
      </c>
      <c r="E244" t="s">
        <v>204</v>
      </c>
      <c r="F244" t="str">
        <f>VLOOKUP(B244,Students!$A$1:$C$101,2,FALSE)</f>
        <v>Sophia Wilson</v>
      </c>
      <c r="G244" t="str">
        <f>VLOOKUP(B244,Students!$A$1:$C$101,3,FALSE)</f>
        <v>F</v>
      </c>
      <c r="H244" t="str">
        <f>VLOOKUP(C244,Courses!$A$1:$B$11,2,FALSE)</f>
        <v>Marketing</v>
      </c>
      <c r="I244" t="str">
        <f>VLOOKUP(B244,Students!$A$1:$E$101,5,0)</f>
        <v>Management</v>
      </c>
      <c r="J244">
        <f>VLOOKUP(C244,Courses!$A$1:$C$11,3,FALSE)</f>
        <v>3</v>
      </c>
    </row>
    <row r="245" spans="1:10">
      <c r="A245" t="s">
        <v>450</v>
      </c>
      <c r="B245" t="s">
        <v>124</v>
      </c>
      <c r="C245" t="s">
        <v>138</v>
      </c>
      <c r="D245">
        <v>0</v>
      </c>
      <c r="E245" t="s">
        <v>201</v>
      </c>
      <c r="F245" t="str">
        <f>VLOOKUP(B245,Students!$A$1:$C$101,2,FALSE)</f>
        <v>James Clark</v>
      </c>
      <c r="G245" t="str">
        <f>VLOOKUP(B245,Students!$A$1:$C$101,3,FALSE)</f>
        <v>F</v>
      </c>
      <c r="H245" t="str">
        <f>VLOOKUP(C245,Courses!$A$1:$B$11,2,FALSE)</f>
        <v>AI &amp; ML</v>
      </c>
      <c r="I245" t="str">
        <f>VLOOKUP(B245,Students!$A$1:$E$101,5,0)</f>
        <v>Mechanical</v>
      </c>
      <c r="J245">
        <f>VLOOKUP(C245,Courses!$A$1:$C$11,3,FALSE)</f>
        <v>3</v>
      </c>
    </row>
    <row r="246" spans="1:10">
      <c r="A246" t="s">
        <v>451</v>
      </c>
      <c r="B246" t="s">
        <v>81</v>
      </c>
      <c r="C246" t="s">
        <v>146</v>
      </c>
      <c r="D246">
        <v>0</v>
      </c>
      <c r="E246" t="s">
        <v>204</v>
      </c>
      <c r="F246" t="str">
        <f>VLOOKUP(B246,Students!$A$1:$C$101,2,FALSE)</f>
        <v>Daniel Lee</v>
      </c>
      <c r="G246" t="str">
        <f>VLOOKUP(B246,Students!$A$1:$C$101,3,FALSE)</f>
        <v>F</v>
      </c>
      <c r="H246" t="str">
        <f>VLOOKUP(C246,Courses!$A$1:$B$11,2,FALSE)</f>
        <v>Marketing</v>
      </c>
      <c r="I246" t="str">
        <f>VLOOKUP(B246,Students!$A$1:$E$101,5,0)</f>
        <v>Mechanical</v>
      </c>
      <c r="J246">
        <f>VLOOKUP(C246,Courses!$A$1:$C$11,3,FALSE)</f>
        <v>3</v>
      </c>
    </row>
    <row r="247" spans="1:10">
      <c r="A247" t="s">
        <v>452</v>
      </c>
      <c r="B247" t="s">
        <v>104</v>
      </c>
      <c r="C247" t="s">
        <v>138</v>
      </c>
      <c r="D247">
        <v>10</v>
      </c>
      <c r="E247" t="s">
        <v>201</v>
      </c>
      <c r="F247" t="str">
        <f>VLOOKUP(B247,Students!$A$1:$C$101,2,FALSE)</f>
        <v>Amit Kumar</v>
      </c>
      <c r="G247" t="str">
        <f>VLOOKUP(B247,Students!$A$1:$C$101,3,FALSE)</f>
        <v>M</v>
      </c>
      <c r="H247" t="str">
        <f>VLOOKUP(C247,Courses!$A$1:$B$11,2,FALSE)</f>
        <v>AI &amp; ML</v>
      </c>
      <c r="I247" t="str">
        <f>VLOOKUP(B247,Students!$A$1:$E$101,5,0)</f>
        <v>Civil</v>
      </c>
      <c r="J247">
        <f>VLOOKUP(C247,Courses!$A$1:$C$11,3,FALSE)</f>
        <v>3</v>
      </c>
    </row>
    <row r="248" spans="1:10">
      <c r="A248" t="s">
        <v>453</v>
      </c>
      <c r="B248" t="s">
        <v>59</v>
      </c>
      <c r="C248" t="s">
        <v>138</v>
      </c>
      <c r="D248">
        <v>6</v>
      </c>
      <c r="E248" t="s">
        <v>210</v>
      </c>
      <c r="F248" t="str">
        <f>VLOOKUP(B248,Students!$A$1:$C$101,2,FALSE)</f>
        <v>Ankit Sharma</v>
      </c>
      <c r="G248" t="str">
        <f>VLOOKUP(B248,Students!$A$1:$C$101,3,FALSE)</f>
        <v>F</v>
      </c>
      <c r="H248" t="str">
        <f>VLOOKUP(C248,Courses!$A$1:$B$11,2,FALSE)</f>
        <v>AI &amp; ML</v>
      </c>
      <c r="I248" t="str">
        <f>VLOOKUP(B248,Students!$A$1:$E$101,5,0)</f>
        <v>Management</v>
      </c>
      <c r="J248">
        <f>VLOOKUP(C248,Courses!$A$1:$C$11,3,FALSE)</f>
        <v>3</v>
      </c>
    </row>
    <row r="249" spans="1:10">
      <c r="A249" t="s">
        <v>454</v>
      </c>
      <c r="B249" t="s">
        <v>5</v>
      </c>
      <c r="C249" t="s">
        <v>134</v>
      </c>
      <c r="D249">
        <v>8</v>
      </c>
      <c r="E249" t="s">
        <v>207</v>
      </c>
      <c r="F249" t="str">
        <f>VLOOKUP(B249,Students!$A$1:$C$101,2,FALSE)</f>
        <v>Nisha Gupta</v>
      </c>
      <c r="G249" t="str">
        <f>VLOOKUP(B249,Students!$A$1:$C$101,3,FALSE)</f>
        <v>M</v>
      </c>
      <c r="H249" t="str">
        <f>VLOOKUP(C249,Courses!$A$1:$B$11,2,FALSE)</f>
        <v>Thermodynamics</v>
      </c>
      <c r="I249" t="str">
        <f>VLOOKUP(B249,Students!$A$1:$E$101,5,0)</f>
        <v>Electronics</v>
      </c>
      <c r="J249">
        <f>VLOOKUP(C249,Courses!$A$1:$C$11,3,FALSE)</f>
        <v>3</v>
      </c>
    </row>
    <row r="250" spans="1:10">
      <c r="A250" t="s">
        <v>455</v>
      </c>
      <c r="B250" t="s">
        <v>27</v>
      </c>
      <c r="C250" t="s">
        <v>134</v>
      </c>
      <c r="D250">
        <v>10</v>
      </c>
      <c r="E250" t="s">
        <v>204</v>
      </c>
      <c r="F250" t="str">
        <f>VLOOKUP(B250,Students!$A$1:$C$101,2,FALSE)</f>
        <v>Daniel Lee</v>
      </c>
      <c r="G250" t="str">
        <f>VLOOKUP(B250,Students!$A$1:$C$101,3,FALSE)</f>
        <v>F</v>
      </c>
      <c r="H250" t="str">
        <f>VLOOKUP(C250,Courses!$A$1:$B$11,2,FALSE)</f>
        <v>Thermodynamics</v>
      </c>
      <c r="I250" t="str">
        <f>VLOOKUP(B250,Students!$A$1:$E$101,5,0)</f>
        <v>Computer Sci</v>
      </c>
      <c r="J250">
        <f>VLOOKUP(C250,Courses!$A$1:$C$11,3,FALSE)</f>
        <v>3</v>
      </c>
    </row>
    <row r="251" spans="1:10">
      <c r="A251" t="s">
        <v>456</v>
      </c>
      <c r="B251" t="s">
        <v>122</v>
      </c>
      <c r="C251" t="s">
        <v>146</v>
      </c>
      <c r="D251">
        <v>8</v>
      </c>
      <c r="E251" t="s">
        <v>207</v>
      </c>
      <c r="F251" t="str">
        <f>VLOOKUP(B251,Students!$A$1:$C$101,2,FALSE)</f>
        <v>James Clark</v>
      </c>
      <c r="G251" t="str">
        <f>VLOOKUP(B251,Students!$A$1:$C$101,3,FALSE)</f>
        <v>F</v>
      </c>
      <c r="H251" t="str">
        <f>VLOOKUP(C251,Courses!$A$1:$B$11,2,FALSE)</f>
        <v>Marketing</v>
      </c>
      <c r="I251" t="str">
        <f>VLOOKUP(B251,Students!$A$1:$E$101,5,0)</f>
        <v>Mechanical</v>
      </c>
      <c r="J251">
        <f>VLOOKUP(C251,Courses!$A$1:$C$11,3,FALSE)</f>
        <v>3</v>
      </c>
    </row>
    <row r="252" spans="1:10">
      <c r="A252" t="s">
        <v>457</v>
      </c>
      <c r="B252" t="s">
        <v>80</v>
      </c>
      <c r="C252" t="s">
        <v>144</v>
      </c>
      <c r="D252">
        <v>6</v>
      </c>
      <c r="E252" t="s">
        <v>201</v>
      </c>
      <c r="F252" t="str">
        <f>VLOOKUP(B252,Students!$A$1:$C$101,2,FALSE)</f>
        <v>Sneha Patil</v>
      </c>
      <c r="G252" t="str">
        <f>VLOOKUP(B252,Students!$A$1:$C$101,3,FALSE)</f>
        <v>M</v>
      </c>
      <c r="H252" t="str">
        <f>VLOOKUP(C252,Courses!$A$1:$B$11,2,FALSE)</f>
        <v>Structural Analysis</v>
      </c>
      <c r="I252" t="str">
        <f>VLOOKUP(B252,Students!$A$1:$E$101,5,0)</f>
        <v>Mechanical</v>
      </c>
      <c r="J252">
        <f>VLOOKUP(C252,Courses!$A$1:$C$11,3,FALSE)</f>
        <v>4</v>
      </c>
    </row>
    <row r="253" spans="1:10">
      <c r="A253" t="s">
        <v>458</v>
      </c>
      <c r="B253" t="s">
        <v>73</v>
      </c>
      <c r="C253" t="s">
        <v>138</v>
      </c>
      <c r="D253">
        <v>6</v>
      </c>
      <c r="E253" t="s">
        <v>204</v>
      </c>
      <c r="F253" t="str">
        <f>VLOOKUP(B253,Students!$A$1:$C$101,2,FALSE)</f>
        <v>Michael Brown</v>
      </c>
      <c r="G253" t="str">
        <f>VLOOKUP(B253,Students!$A$1:$C$101,3,FALSE)</f>
        <v>M</v>
      </c>
      <c r="H253" t="str">
        <f>VLOOKUP(C253,Courses!$A$1:$B$11,2,FALSE)</f>
        <v>AI &amp; ML</v>
      </c>
      <c r="I253" t="str">
        <f>VLOOKUP(B253,Students!$A$1:$E$101,5,0)</f>
        <v>Mechanical</v>
      </c>
      <c r="J253">
        <f>VLOOKUP(C253,Courses!$A$1:$C$11,3,FALSE)</f>
        <v>3</v>
      </c>
    </row>
    <row r="254" spans="1:10">
      <c r="A254" t="s">
        <v>459</v>
      </c>
      <c r="B254" t="s">
        <v>21</v>
      </c>
      <c r="C254" t="s">
        <v>134</v>
      </c>
      <c r="D254">
        <v>8</v>
      </c>
      <c r="E254" t="s">
        <v>204</v>
      </c>
      <c r="F254" t="str">
        <f>VLOOKUP(B254,Students!$A$1:$C$101,2,FALSE)</f>
        <v>Robert Taylor</v>
      </c>
      <c r="G254" t="str">
        <f>VLOOKUP(B254,Students!$A$1:$C$101,3,FALSE)</f>
        <v>M</v>
      </c>
      <c r="H254" t="str">
        <f>VLOOKUP(C254,Courses!$A$1:$B$11,2,FALSE)</f>
        <v>Thermodynamics</v>
      </c>
      <c r="I254" t="str">
        <f>VLOOKUP(B254,Students!$A$1:$E$101,5,0)</f>
        <v>Civil</v>
      </c>
      <c r="J254">
        <f>VLOOKUP(C254,Courses!$A$1:$C$11,3,FALSE)</f>
        <v>3</v>
      </c>
    </row>
    <row r="255" spans="1:10">
      <c r="A255" t="s">
        <v>460</v>
      </c>
      <c r="B255" t="s">
        <v>113</v>
      </c>
      <c r="C255" t="s">
        <v>132</v>
      </c>
      <c r="D255">
        <v>6</v>
      </c>
      <c r="E255" t="s">
        <v>207</v>
      </c>
      <c r="F255" t="str">
        <f>VLOOKUP(B255,Students!$A$1:$C$101,2,FALSE)</f>
        <v>Nisha Gupta</v>
      </c>
      <c r="G255" t="str">
        <f>VLOOKUP(B255,Students!$A$1:$C$101,3,FALSE)</f>
        <v>F</v>
      </c>
      <c r="H255" t="str">
        <f>VLOOKUP(C255,Courses!$A$1:$B$11,2,FALSE)</f>
        <v>DBMS</v>
      </c>
      <c r="I255" t="str">
        <f>VLOOKUP(B255,Students!$A$1:$E$101,5,0)</f>
        <v>Electronics</v>
      </c>
      <c r="J255">
        <f>VLOOKUP(C255,Courses!$A$1:$C$11,3,FALSE)</f>
        <v>4</v>
      </c>
    </row>
    <row r="256" spans="1:10">
      <c r="A256" t="s">
        <v>461</v>
      </c>
      <c r="B256" t="s">
        <v>111</v>
      </c>
      <c r="C256" t="s">
        <v>142</v>
      </c>
      <c r="D256">
        <v>4</v>
      </c>
      <c r="E256" t="s">
        <v>207</v>
      </c>
      <c r="F256" t="str">
        <f>VLOOKUP(B256,Students!$A$1:$C$101,2,FALSE)</f>
        <v>Priya Verma</v>
      </c>
      <c r="G256" t="str">
        <f>VLOOKUP(B256,Students!$A$1:$C$101,3,FALSE)</f>
        <v>M</v>
      </c>
      <c r="H256" t="str">
        <f>VLOOKUP(C256,Courses!$A$1:$B$11,2,FALSE)</f>
        <v>Digital Logic</v>
      </c>
      <c r="I256" t="str">
        <f>VLOOKUP(B256,Students!$A$1:$E$101,5,0)</f>
        <v>Electronics</v>
      </c>
      <c r="J256">
        <f>VLOOKUP(C256,Courses!$A$1:$C$11,3,FALSE)</f>
        <v>3</v>
      </c>
    </row>
    <row r="257" spans="1:10">
      <c r="A257" t="s">
        <v>462</v>
      </c>
      <c r="B257" t="s">
        <v>80</v>
      </c>
      <c r="C257" t="s">
        <v>138</v>
      </c>
      <c r="D257">
        <v>8</v>
      </c>
      <c r="E257" t="s">
        <v>204</v>
      </c>
      <c r="F257" t="str">
        <f>VLOOKUP(B257,Students!$A$1:$C$101,2,FALSE)</f>
        <v>Sneha Patil</v>
      </c>
      <c r="G257" t="str">
        <f>VLOOKUP(B257,Students!$A$1:$C$101,3,FALSE)</f>
        <v>M</v>
      </c>
      <c r="H257" t="str">
        <f>VLOOKUP(C257,Courses!$A$1:$B$11,2,FALSE)</f>
        <v>AI &amp; ML</v>
      </c>
      <c r="I257" t="str">
        <f>VLOOKUP(B257,Students!$A$1:$E$101,5,0)</f>
        <v>Mechanical</v>
      </c>
      <c r="J257">
        <f>VLOOKUP(C257,Courses!$A$1:$C$11,3,FALSE)</f>
        <v>3</v>
      </c>
    </row>
    <row r="258" spans="1:10">
      <c r="A258" t="s">
        <v>463</v>
      </c>
      <c r="B258" t="s">
        <v>70</v>
      </c>
      <c r="C258" t="s">
        <v>142</v>
      </c>
      <c r="D258">
        <v>10</v>
      </c>
      <c r="E258" t="s">
        <v>210</v>
      </c>
      <c r="F258" t="str">
        <f>VLOOKUP(B258,Students!$A$1:$C$101,2,FALSE)</f>
        <v>Sophia Wilson</v>
      </c>
      <c r="G258" t="str">
        <f>VLOOKUP(B258,Students!$A$1:$C$101,3,FALSE)</f>
        <v>F</v>
      </c>
      <c r="H258" t="str">
        <f>VLOOKUP(C258,Courses!$A$1:$B$11,2,FALSE)</f>
        <v>Digital Logic</v>
      </c>
      <c r="I258" t="str">
        <f>VLOOKUP(B258,Students!$A$1:$E$101,5,0)</f>
        <v>Management</v>
      </c>
      <c r="J258">
        <f>VLOOKUP(C258,Courses!$A$1:$C$11,3,FALSE)</f>
        <v>3</v>
      </c>
    </row>
    <row r="259" spans="1:10">
      <c r="A259" t="s">
        <v>464</v>
      </c>
      <c r="B259" t="s">
        <v>113</v>
      </c>
      <c r="C259" t="s">
        <v>148</v>
      </c>
      <c r="D259">
        <v>4</v>
      </c>
      <c r="E259" t="s">
        <v>210</v>
      </c>
      <c r="F259" t="str">
        <f>VLOOKUP(B259,Students!$A$1:$C$101,2,FALSE)</f>
        <v>Nisha Gupta</v>
      </c>
      <c r="G259" t="str">
        <f>VLOOKUP(B259,Students!$A$1:$C$101,3,FALSE)</f>
        <v>F</v>
      </c>
      <c r="H259" t="str">
        <f>VLOOKUP(C259,Courses!$A$1:$B$11,2,FALSE)</f>
        <v>Finance</v>
      </c>
      <c r="I259" t="str">
        <f>VLOOKUP(B259,Students!$A$1:$E$101,5,0)</f>
        <v>Electronics</v>
      </c>
      <c r="J259">
        <f>VLOOKUP(C259,Courses!$A$1:$C$11,3,FALSE)</f>
        <v>4</v>
      </c>
    </row>
    <row r="260" spans="1:10">
      <c r="A260" t="s">
        <v>465</v>
      </c>
      <c r="B260" t="s">
        <v>19</v>
      </c>
      <c r="C260" t="s">
        <v>136</v>
      </c>
      <c r="D260">
        <v>4</v>
      </c>
      <c r="E260" t="s">
        <v>204</v>
      </c>
      <c r="F260" t="str">
        <f>VLOOKUP(B260,Students!$A$1:$C$101,2,FALSE)</f>
        <v>Sara Khan</v>
      </c>
      <c r="G260" t="str">
        <f>VLOOKUP(B260,Students!$A$1:$C$101,3,FALSE)</f>
        <v>M</v>
      </c>
      <c r="H260" t="str">
        <f>VLOOKUP(C260,Courses!$A$1:$B$11,2,FALSE)</f>
        <v>Circuits</v>
      </c>
      <c r="I260" t="str">
        <f>VLOOKUP(B260,Students!$A$1:$E$101,5,0)</f>
        <v>Management</v>
      </c>
      <c r="J260">
        <f>VLOOKUP(C260,Courses!$A$1:$C$11,3,FALSE)</f>
        <v>4</v>
      </c>
    </row>
    <row r="261" spans="1:10">
      <c r="A261" t="s">
        <v>466</v>
      </c>
      <c r="B261" t="s">
        <v>5</v>
      </c>
      <c r="C261" t="s">
        <v>136</v>
      </c>
      <c r="D261">
        <v>6</v>
      </c>
      <c r="E261" t="s">
        <v>201</v>
      </c>
      <c r="F261" t="str">
        <f>VLOOKUP(B261,Students!$A$1:$C$101,2,FALSE)</f>
        <v>Nisha Gupta</v>
      </c>
      <c r="G261" t="str">
        <f>VLOOKUP(B261,Students!$A$1:$C$101,3,FALSE)</f>
        <v>M</v>
      </c>
      <c r="H261" t="str">
        <f>VLOOKUP(C261,Courses!$A$1:$B$11,2,FALSE)</f>
        <v>Circuits</v>
      </c>
      <c r="I261" t="str">
        <f>VLOOKUP(B261,Students!$A$1:$E$101,5,0)</f>
        <v>Electronics</v>
      </c>
      <c r="J261">
        <f>VLOOKUP(C261,Courses!$A$1:$C$11,3,FALSE)</f>
        <v>4</v>
      </c>
    </row>
    <row r="262" spans="1:10">
      <c r="A262" t="s">
        <v>467</v>
      </c>
      <c r="B262" t="s">
        <v>125</v>
      </c>
      <c r="C262" t="s">
        <v>134</v>
      </c>
      <c r="D262">
        <v>6</v>
      </c>
      <c r="E262" t="s">
        <v>210</v>
      </c>
      <c r="F262" t="str">
        <f>VLOOKUP(B262,Students!$A$1:$C$101,2,FALSE)</f>
        <v>Sophia Wilson</v>
      </c>
      <c r="G262" t="str">
        <f>VLOOKUP(B262,Students!$A$1:$C$101,3,FALSE)</f>
        <v>M</v>
      </c>
      <c r="H262" t="str">
        <f>VLOOKUP(C262,Courses!$A$1:$B$11,2,FALSE)</f>
        <v>Thermodynamics</v>
      </c>
      <c r="I262" t="str">
        <f>VLOOKUP(B262,Students!$A$1:$E$101,5,0)</f>
        <v>Civil</v>
      </c>
      <c r="J262">
        <f>VLOOKUP(C262,Courses!$A$1:$C$11,3,FALSE)</f>
        <v>3</v>
      </c>
    </row>
    <row r="263" spans="1:10">
      <c r="A263" t="s">
        <v>468</v>
      </c>
      <c r="B263" t="s">
        <v>66</v>
      </c>
      <c r="C263" t="s">
        <v>132</v>
      </c>
      <c r="D263">
        <v>10</v>
      </c>
      <c r="E263" t="s">
        <v>207</v>
      </c>
      <c r="F263" t="str">
        <f>VLOOKUP(B263,Students!$A$1:$C$101,2,FALSE)</f>
        <v>Chris Evans</v>
      </c>
      <c r="G263" t="str">
        <f>VLOOKUP(B263,Students!$A$1:$C$101,3,FALSE)</f>
        <v>F</v>
      </c>
      <c r="H263" t="str">
        <f>VLOOKUP(C263,Courses!$A$1:$B$11,2,FALSE)</f>
        <v>DBMS</v>
      </c>
      <c r="I263" t="str">
        <f>VLOOKUP(B263,Students!$A$1:$E$101,5,0)</f>
        <v>Management</v>
      </c>
      <c r="J263">
        <f>VLOOKUP(C263,Courses!$A$1:$C$11,3,FALSE)</f>
        <v>4</v>
      </c>
    </row>
    <row r="264" spans="1:10">
      <c r="A264" t="s">
        <v>469</v>
      </c>
      <c r="B264" t="s">
        <v>122</v>
      </c>
      <c r="C264" t="s">
        <v>142</v>
      </c>
      <c r="D264">
        <v>8</v>
      </c>
      <c r="E264" t="s">
        <v>201</v>
      </c>
      <c r="F264" t="str">
        <f>VLOOKUP(B264,Students!$A$1:$C$101,2,FALSE)</f>
        <v>James Clark</v>
      </c>
      <c r="G264" t="str">
        <f>VLOOKUP(B264,Students!$A$1:$C$101,3,FALSE)</f>
        <v>F</v>
      </c>
      <c r="H264" t="str">
        <f>VLOOKUP(C264,Courses!$A$1:$B$11,2,FALSE)</f>
        <v>Digital Logic</v>
      </c>
      <c r="I264" t="str">
        <f>VLOOKUP(B264,Students!$A$1:$E$101,5,0)</f>
        <v>Mechanical</v>
      </c>
      <c r="J264">
        <f>VLOOKUP(C264,Courses!$A$1:$C$11,3,FALSE)</f>
        <v>3</v>
      </c>
    </row>
    <row r="265" spans="1:10">
      <c r="A265" t="s">
        <v>470</v>
      </c>
      <c r="B265" t="s">
        <v>74</v>
      </c>
      <c r="C265" t="s">
        <v>146</v>
      </c>
      <c r="D265">
        <v>8</v>
      </c>
      <c r="E265" t="s">
        <v>210</v>
      </c>
      <c r="F265" t="str">
        <f>VLOOKUP(B265,Students!$A$1:$C$101,2,FALSE)</f>
        <v>Priya Verma</v>
      </c>
      <c r="G265" t="str">
        <f>VLOOKUP(B265,Students!$A$1:$C$101,3,FALSE)</f>
        <v>F</v>
      </c>
      <c r="H265" t="str">
        <f>VLOOKUP(C265,Courses!$A$1:$B$11,2,FALSE)</f>
        <v>Marketing</v>
      </c>
      <c r="I265" t="str">
        <f>VLOOKUP(B265,Students!$A$1:$E$101,5,0)</f>
        <v>Management</v>
      </c>
      <c r="J265">
        <f>VLOOKUP(C265,Courses!$A$1:$C$11,3,FALSE)</f>
        <v>3</v>
      </c>
    </row>
    <row r="266" spans="1:10">
      <c r="A266" t="s">
        <v>471</v>
      </c>
      <c r="B266" t="s">
        <v>29</v>
      </c>
      <c r="C266" t="s">
        <v>142</v>
      </c>
      <c r="D266">
        <v>10</v>
      </c>
      <c r="E266" t="s">
        <v>207</v>
      </c>
      <c r="F266" t="str">
        <f>VLOOKUP(B266,Students!$A$1:$C$101,2,FALSE)</f>
        <v>Sara Khan</v>
      </c>
      <c r="G266" t="str">
        <f>VLOOKUP(B266,Students!$A$1:$C$101,3,FALSE)</f>
        <v>M</v>
      </c>
      <c r="H266" t="str">
        <f>VLOOKUP(C266,Courses!$A$1:$B$11,2,FALSE)</f>
        <v>Digital Logic</v>
      </c>
      <c r="I266" t="str">
        <f>VLOOKUP(B266,Students!$A$1:$E$101,5,0)</f>
        <v>Electronics</v>
      </c>
      <c r="J266">
        <f>VLOOKUP(C266,Courses!$A$1:$C$11,3,FALSE)</f>
        <v>3</v>
      </c>
    </row>
    <row r="267" spans="1:10">
      <c r="A267" t="s">
        <v>472</v>
      </c>
      <c r="B267" t="s">
        <v>12</v>
      </c>
      <c r="C267" t="s">
        <v>144</v>
      </c>
      <c r="D267">
        <v>10</v>
      </c>
      <c r="E267" t="s">
        <v>210</v>
      </c>
      <c r="F267" t="str">
        <f>VLOOKUP(B267,Students!$A$1:$C$101,2,FALSE)</f>
        <v>Nisha Gupta</v>
      </c>
      <c r="G267" t="str">
        <f>VLOOKUP(B267,Students!$A$1:$C$101,3,FALSE)</f>
        <v>M</v>
      </c>
      <c r="H267" t="str">
        <f>VLOOKUP(C267,Courses!$A$1:$B$11,2,FALSE)</f>
        <v>Structural Analysis</v>
      </c>
      <c r="I267" t="str">
        <f>VLOOKUP(B267,Students!$A$1:$E$101,5,0)</f>
        <v>Computer Sci</v>
      </c>
      <c r="J267">
        <f>VLOOKUP(C267,Courses!$A$1:$C$11,3,FALSE)</f>
        <v>4</v>
      </c>
    </row>
    <row r="268" spans="1:10">
      <c r="A268" t="s">
        <v>473</v>
      </c>
      <c r="B268" t="s">
        <v>100</v>
      </c>
      <c r="C268" t="s">
        <v>142</v>
      </c>
      <c r="D268">
        <v>0</v>
      </c>
      <c r="E268" t="s">
        <v>207</v>
      </c>
      <c r="F268" t="str">
        <f>VLOOKUP(B268,Students!$A$1:$C$101,2,FALSE)</f>
        <v>Priya Verma</v>
      </c>
      <c r="G268" t="str">
        <f>VLOOKUP(B268,Students!$A$1:$C$101,3,FALSE)</f>
        <v>M</v>
      </c>
      <c r="H268" t="str">
        <f>VLOOKUP(C268,Courses!$A$1:$B$11,2,FALSE)</f>
        <v>Digital Logic</v>
      </c>
      <c r="I268" t="str">
        <f>VLOOKUP(B268,Students!$A$1:$E$101,5,0)</f>
        <v>Management</v>
      </c>
      <c r="J268">
        <f>VLOOKUP(C268,Courses!$A$1:$C$11,3,FALSE)</f>
        <v>3</v>
      </c>
    </row>
    <row r="269" spans="1:10">
      <c r="A269" t="s">
        <v>474</v>
      </c>
      <c r="B269" t="s">
        <v>117</v>
      </c>
      <c r="C269" t="s">
        <v>142</v>
      </c>
      <c r="D269">
        <v>6</v>
      </c>
      <c r="E269" t="s">
        <v>204</v>
      </c>
      <c r="F269" t="str">
        <f>VLOOKUP(B269,Students!$A$1:$C$101,2,FALSE)</f>
        <v>Chris Evans</v>
      </c>
      <c r="G269" t="str">
        <f>VLOOKUP(B269,Students!$A$1:$C$101,3,FALSE)</f>
        <v>F</v>
      </c>
      <c r="H269" t="str">
        <f>VLOOKUP(C269,Courses!$A$1:$B$11,2,FALSE)</f>
        <v>Digital Logic</v>
      </c>
      <c r="I269" t="str">
        <f>VLOOKUP(B269,Students!$A$1:$E$101,5,0)</f>
        <v>Management</v>
      </c>
      <c r="J269">
        <f>VLOOKUP(C269,Courses!$A$1:$C$11,3,FALSE)</f>
        <v>3</v>
      </c>
    </row>
    <row r="270" spans="1:10">
      <c r="A270" t="s">
        <v>475</v>
      </c>
      <c r="B270" t="s">
        <v>78</v>
      </c>
      <c r="C270" t="s">
        <v>130</v>
      </c>
      <c r="D270">
        <v>6</v>
      </c>
      <c r="E270" t="s">
        <v>201</v>
      </c>
      <c r="F270" t="str">
        <f>VLOOKUP(B270,Students!$A$1:$C$101,2,FALSE)</f>
        <v>James Clark</v>
      </c>
      <c r="G270" t="str">
        <f>VLOOKUP(B270,Students!$A$1:$C$101,3,FALSE)</f>
        <v>M</v>
      </c>
      <c r="H270" t="str">
        <f>VLOOKUP(C270,Courses!$A$1:$B$11,2,FALSE)</f>
        <v>Data Structures</v>
      </c>
      <c r="I270" t="str">
        <f>VLOOKUP(B270,Students!$A$1:$E$101,5,0)</f>
        <v>Computer Sci</v>
      </c>
      <c r="J270">
        <f>VLOOKUP(C270,Courses!$A$1:$C$11,3,FALSE)</f>
        <v>3</v>
      </c>
    </row>
    <row r="271" spans="1:10">
      <c r="A271" t="s">
        <v>476</v>
      </c>
      <c r="B271" t="s">
        <v>106</v>
      </c>
      <c r="C271" t="s">
        <v>144</v>
      </c>
      <c r="D271">
        <v>6</v>
      </c>
      <c r="E271" t="s">
        <v>204</v>
      </c>
      <c r="F271" t="str">
        <f>VLOOKUP(B271,Students!$A$1:$C$101,2,FALSE)</f>
        <v>Sneha Patil</v>
      </c>
      <c r="G271" t="str">
        <f>VLOOKUP(B271,Students!$A$1:$C$101,3,FALSE)</f>
        <v>F</v>
      </c>
      <c r="H271" t="str">
        <f>VLOOKUP(C271,Courses!$A$1:$B$11,2,FALSE)</f>
        <v>Structural Analysis</v>
      </c>
      <c r="I271" t="str">
        <f>VLOOKUP(B271,Students!$A$1:$E$101,5,0)</f>
        <v>Electronics</v>
      </c>
      <c r="J271">
        <f>VLOOKUP(C271,Courses!$A$1:$C$11,3,FALSE)</f>
        <v>4</v>
      </c>
    </row>
    <row r="272" spans="1:10">
      <c r="A272" t="s">
        <v>477</v>
      </c>
      <c r="B272" t="s">
        <v>82</v>
      </c>
      <c r="C272" t="s">
        <v>132</v>
      </c>
      <c r="D272">
        <v>8</v>
      </c>
      <c r="E272" t="s">
        <v>207</v>
      </c>
      <c r="F272" t="str">
        <f>VLOOKUP(B272,Students!$A$1:$C$101,2,FALSE)</f>
        <v>Priya Verma</v>
      </c>
      <c r="G272" t="str">
        <f>VLOOKUP(B272,Students!$A$1:$C$101,3,FALSE)</f>
        <v>M</v>
      </c>
      <c r="H272" t="str">
        <f>VLOOKUP(C272,Courses!$A$1:$B$11,2,FALSE)</f>
        <v>DBMS</v>
      </c>
      <c r="I272" t="str">
        <f>VLOOKUP(B272,Students!$A$1:$E$101,5,0)</f>
        <v>Electronics</v>
      </c>
      <c r="J272">
        <f>VLOOKUP(C272,Courses!$A$1:$C$11,3,FALSE)</f>
        <v>4</v>
      </c>
    </row>
    <row r="273" spans="1:10">
      <c r="A273" t="s">
        <v>478</v>
      </c>
      <c r="B273" t="s">
        <v>102</v>
      </c>
      <c r="C273" t="s">
        <v>142</v>
      </c>
      <c r="D273">
        <v>0</v>
      </c>
      <c r="E273" t="s">
        <v>204</v>
      </c>
      <c r="F273" t="str">
        <f>VLOOKUP(B273,Students!$A$1:$C$101,2,FALSE)</f>
        <v>Sneha Patil</v>
      </c>
      <c r="G273" t="str">
        <f>VLOOKUP(B273,Students!$A$1:$C$101,3,FALSE)</f>
        <v>F</v>
      </c>
      <c r="H273" t="str">
        <f>VLOOKUP(C273,Courses!$A$1:$B$11,2,FALSE)</f>
        <v>Digital Logic</v>
      </c>
      <c r="I273" t="str">
        <f>VLOOKUP(B273,Students!$A$1:$E$101,5,0)</f>
        <v>Electronics</v>
      </c>
      <c r="J273">
        <f>VLOOKUP(C273,Courses!$A$1:$C$11,3,FALSE)</f>
        <v>3</v>
      </c>
    </row>
    <row r="274" spans="1:10">
      <c r="A274" t="s">
        <v>479</v>
      </c>
      <c r="B274" t="s">
        <v>77</v>
      </c>
      <c r="C274" t="s">
        <v>138</v>
      </c>
      <c r="D274">
        <v>6</v>
      </c>
      <c r="E274" t="s">
        <v>201</v>
      </c>
      <c r="F274" t="str">
        <f>VLOOKUP(B274,Students!$A$1:$C$101,2,FALSE)</f>
        <v>Priya Verma</v>
      </c>
      <c r="G274" t="str">
        <f>VLOOKUP(B274,Students!$A$1:$C$101,3,FALSE)</f>
        <v>M</v>
      </c>
      <c r="H274" t="str">
        <f>VLOOKUP(C274,Courses!$A$1:$B$11,2,FALSE)</f>
        <v>AI &amp; ML</v>
      </c>
      <c r="I274" t="str">
        <f>VLOOKUP(B274,Students!$A$1:$E$101,5,0)</f>
        <v>Computer Sci</v>
      </c>
      <c r="J274">
        <f>VLOOKUP(C274,Courses!$A$1:$C$11,3,FALSE)</f>
        <v>3</v>
      </c>
    </row>
    <row r="275" spans="1:10">
      <c r="A275" t="s">
        <v>480</v>
      </c>
      <c r="B275" t="s">
        <v>68</v>
      </c>
      <c r="C275" t="s">
        <v>134</v>
      </c>
      <c r="D275">
        <v>10</v>
      </c>
      <c r="E275" t="s">
        <v>204</v>
      </c>
      <c r="F275" t="str">
        <f>VLOOKUP(B275,Students!$A$1:$C$101,2,FALSE)</f>
        <v>Daniel Lee</v>
      </c>
      <c r="G275" t="str">
        <f>VLOOKUP(B275,Students!$A$1:$C$101,3,FALSE)</f>
        <v>M</v>
      </c>
      <c r="H275" t="str">
        <f>VLOOKUP(C275,Courses!$A$1:$B$11,2,FALSE)</f>
        <v>Thermodynamics</v>
      </c>
      <c r="I275" t="str">
        <f>VLOOKUP(B275,Students!$A$1:$E$101,5,0)</f>
        <v>Civil</v>
      </c>
      <c r="J275">
        <f>VLOOKUP(C275,Courses!$A$1:$C$11,3,FALSE)</f>
        <v>3</v>
      </c>
    </row>
    <row r="276" spans="1:10">
      <c r="A276" t="s">
        <v>481</v>
      </c>
      <c r="B276" t="s">
        <v>94</v>
      </c>
      <c r="C276" t="s">
        <v>146</v>
      </c>
      <c r="D276">
        <v>8</v>
      </c>
      <c r="E276" t="s">
        <v>210</v>
      </c>
      <c r="F276" t="str">
        <f>VLOOKUP(B276,Students!$A$1:$C$101,2,FALSE)</f>
        <v>Robert Taylor</v>
      </c>
      <c r="G276" t="str">
        <f>VLOOKUP(B276,Students!$A$1:$C$101,3,FALSE)</f>
        <v>F</v>
      </c>
      <c r="H276" t="str">
        <f>VLOOKUP(C276,Courses!$A$1:$B$11,2,FALSE)</f>
        <v>Marketing</v>
      </c>
      <c r="I276" t="str">
        <f>VLOOKUP(B276,Students!$A$1:$E$101,5,0)</f>
        <v>Mechanical</v>
      </c>
      <c r="J276">
        <f>VLOOKUP(C276,Courses!$A$1:$C$11,3,FALSE)</f>
        <v>3</v>
      </c>
    </row>
    <row r="277" spans="1:10">
      <c r="A277" t="s">
        <v>482</v>
      </c>
      <c r="B277" t="s">
        <v>70</v>
      </c>
      <c r="C277" t="s">
        <v>134</v>
      </c>
      <c r="D277">
        <v>8</v>
      </c>
      <c r="E277" t="s">
        <v>204</v>
      </c>
      <c r="F277" t="str">
        <f>VLOOKUP(B277,Students!$A$1:$C$101,2,FALSE)</f>
        <v>Sophia Wilson</v>
      </c>
      <c r="G277" t="str">
        <f>VLOOKUP(B277,Students!$A$1:$C$101,3,FALSE)</f>
        <v>F</v>
      </c>
      <c r="H277" t="str">
        <f>VLOOKUP(C277,Courses!$A$1:$B$11,2,FALSE)</f>
        <v>Thermodynamics</v>
      </c>
      <c r="I277" t="str">
        <f>VLOOKUP(B277,Students!$A$1:$E$101,5,0)</f>
        <v>Management</v>
      </c>
      <c r="J277">
        <f>VLOOKUP(C277,Courses!$A$1:$C$11,3,FALSE)</f>
        <v>3</v>
      </c>
    </row>
    <row r="278" spans="1:10">
      <c r="A278" t="s">
        <v>483</v>
      </c>
      <c r="B278" t="s">
        <v>41</v>
      </c>
      <c r="C278" t="s">
        <v>138</v>
      </c>
      <c r="D278">
        <v>8</v>
      </c>
      <c r="E278" t="s">
        <v>201</v>
      </c>
      <c r="F278" t="str">
        <f>VLOOKUP(B278,Students!$A$1:$C$101,2,FALSE)</f>
        <v>Raj Mehta</v>
      </c>
      <c r="G278" t="str">
        <f>VLOOKUP(B278,Students!$A$1:$C$101,3,FALSE)</f>
        <v>M</v>
      </c>
      <c r="H278" t="str">
        <f>VLOOKUP(C278,Courses!$A$1:$B$11,2,FALSE)</f>
        <v>AI &amp; ML</v>
      </c>
      <c r="I278" t="str">
        <f>VLOOKUP(B278,Students!$A$1:$E$101,5,0)</f>
        <v>Mechanical</v>
      </c>
      <c r="J278">
        <f>VLOOKUP(C278,Courses!$A$1:$C$11,3,FALSE)</f>
        <v>3</v>
      </c>
    </row>
    <row r="279" spans="1:10">
      <c r="A279" t="s">
        <v>484</v>
      </c>
      <c r="B279" t="s">
        <v>104</v>
      </c>
      <c r="C279" t="s">
        <v>134</v>
      </c>
      <c r="D279">
        <v>10</v>
      </c>
      <c r="E279" t="s">
        <v>201</v>
      </c>
      <c r="F279" t="str">
        <f>VLOOKUP(B279,Students!$A$1:$C$101,2,FALSE)</f>
        <v>Amit Kumar</v>
      </c>
      <c r="G279" t="str">
        <f>VLOOKUP(B279,Students!$A$1:$C$101,3,FALSE)</f>
        <v>M</v>
      </c>
      <c r="H279" t="str">
        <f>VLOOKUP(C279,Courses!$A$1:$B$11,2,FALSE)</f>
        <v>Thermodynamics</v>
      </c>
      <c r="I279" t="str">
        <f>VLOOKUP(B279,Students!$A$1:$E$101,5,0)</f>
        <v>Civil</v>
      </c>
      <c r="J279">
        <f>VLOOKUP(C279,Courses!$A$1:$C$11,3,FALSE)</f>
        <v>3</v>
      </c>
    </row>
    <row r="280" spans="1:10">
      <c r="A280" t="s">
        <v>485</v>
      </c>
      <c r="B280" t="s">
        <v>125</v>
      </c>
      <c r="C280" t="s">
        <v>144</v>
      </c>
      <c r="D280">
        <v>4</v>
      </c>
      <c r="E280" t="s">
        <v>207</v>
      </c>
      <c r="F280" t="str">
        <f>VLOOKUP(B280,Students!$A$1:$C$101,2,FALSE)</f>
        <v>Sophia Wilson</v>
      </c>
      <c r="G280" t="str">
        <f>VLOOKUP(B280,Students!$A$1:$C$101,3,FALSE)</f>
        <v>M</v>
      </c>
      <c r="H280" t="str">
        <f>VLOOKUP(C280,Courses!$A$1:$B$11,2,FALSE)</f>
        <v>Structural Analysis</v>
      </c>
      <c r="I280" t="str">
        <f>VLOOKUP(B280,Students!$A$1:$E$101,5,0)</f>
        <v>Civil</v>
      </c>
      <c r="J280">
        <f>VLOOKUP(C280,Courses!$A$1:$C$11,3,FALSE)</f>
        <v>4</v>
      </c>
    </row>
    <row r="281" spans="1:10">
      <c r="A281" t="s">
        <v>486</v>
      </c>
      <c r="B281" t="s">
        <v>114</v>
      </c>
      <c r="C281" t="s">
        <v>148</v>
      </c>
      <c r="D281">
        <v>0</v>
      </c>
      <c r="E281" t="s">
        <v>210</v>
      </c>
      <c r="F281" t="str">
        <f>VLOOKUP(B281,Students!$A$1:$C$101,2,FALSE)</f>
        <v>James Clark</v>
      </c>
      <c r="G281" t="str">
        <f>VLOOKUP(B281,Students!$A$1:$C$101,3,FALSE)</f>
        <v>M</v>
      </c>
      <c r="H281" t="str">
        <f>VLOOKUP(C281,Courses!$A$1:$B$11,2,FALSE)</f>
        <v>Finance</v>
      </c>
      <c r="I281" t="str">
        <f>VLOOKUP(B281,Students!$A$1:$E$101,5,0)</f>
        <v>Civil</v>
      </c>
      <c r="J281">
        <f>VLOOKUP(C281,Courses!$A$1:$C$11,3,FALSE)</f>
        <v>4</v>
      </c>
    </row>
    <row r="282" spans="1:10">
      <c r="A282" t="s">
        <v>487</v>
      </c>
      <c r="B282" t="s">
        <v>107</v>
      </c>
      <c r="C282" t="s">
        <v>140</v>
      </c>
      <c r="D282">
        <v>8</v>
      </c>
      <c r="E282" t="s">
        <v>207</v>
      </c>
      <c r="F282" t="str">
        <f>VLOOKUP(B282,Students!$A$1:$C$101,2,FALSE)</f>
        <v>James Clark</v>
      </c>
      <c r="G282" t="str">
        <f>VLOOKUP(B282,Students!$A$1:$C$101,3,FALSE)</f>
        <v>M</v>
      </c>
      <c r="H282" t="str">
        <f>VLOOKUP(C282,Courses!$A$1:$B$11,2,FALSE)</f>
        <v>Fluid Mechanics</v>
      </c>
      <c r="I282" t="str">
        <f>VLOOKUP(B282,Students!$A$1:$E$101,5,0)</f>
        <v>Electronics</v>
      </c>
      <c r="J282">
        <f>VLOOKUP(C282,Courses!$A$1:$C$11,3,FALSE)</f>
        <v>4</v>
      </c>
    </row>
    <row r="283" spans="1:10">
      <c r="A283" t="s">
        <v>488</v>
      </c>
      <c r="B283" t="s">
        <v>27</v>
      </c>
      <c r="C283" t="s">
        <v>144</v>
      </c>
      <c r="D283">
        <v>4</v>
      </c>
      <c r="E283" t="s">
        <v>210</v>
      </c>
      <c r="F283" t="str">
        <f>VLOOKUP(B283,Students!$A$1:$C$101,2,FALSE)</f>
        <v>Daniel Lee</v>
      </c>
      <c r="G283" t="str">
        <f>VLOOKUP(B283,Students!$A$1:$C$101,3,FALSE)</f>
        <v>F</v>
      </c>
      <c r="H283" t="str">
        <f>VLOOKUP(C283,Courses!$A$1:$B$11,2,FALSE)</f>
        <v>Structural Analysis</v>
      </c>
      <c r="I283" t="str">
        <f>VLOOKUP(B283,Students!$A$1:$E$101,5,0)</f>
        <v>Computer Sci</v>
      </c>
      <c r="J283">
        <f>VLOOKUP(C283,Courses!$A$1:$C$11,3,FALSE)</f>
        <v>4</v>
      </c>
    </row>
    <row r="284" spans="1:10">
      <c r="A284" t="s">
        <v>489</v>
      </c>
      <c r="B284" t="s">
        <v>60</v>
      </c>
      <c r="C284" t="s">
        <v>148</v>
      </c>
      <c r="D284">
        <v>10</v>
      </c>
      <c r="E284" t="s">
        <v>210</v>
      </c>
      <c r="F284" t="str">
        <f>VLOOKUP(B284,Students!$A$1:$C$101,2,FALSE)</f>
        <v>James Clark</v>
      </c>
      <c r="G284" t="str">
        <f>VLOOKUP(B284,Students!$A$1:$C$101,3,FALSE)</f>
        <v>M</v>
      </c>
      <c r="H284" t="str">
        <f>VLOOKUP(C284,Courses!$A$1:$B$11,2,FALSE)</f>
        <v>Finance</v>
      </c>
      <c r="I284" t="str">
        <f>VLOOKUP(B284,Students!$A$1:$E$101,5,0)</f>
        <v>Management</v>
      </c>
      <c r="J284">
        <f>VLOOKUP(C284,Courses!$A$1:$C$11,3,FALSE)</f>
        <v>4</v>
      </c>
    </row>
    <row r="285" spans="1:10">
      <c r="A285" t="s">
        <v>490</v>
      </c>
      <c r="B285" t="s">
        <v>91</v>
      </c>
      <c r="C285" t="s">
        <v>132</v>
      </c>
      <c r="D285">
        <v>6</v>
      </c>
      <c r="E285" t="s">
        <v>207</v>
      </c>
      <c r="F285" t="str">
        <f>VLOOKUP(B285,Students!$A$1:$C$101,2,FALSE)</f>
        <v>Michael Brown</v>
      </c>
      <c r="G285" t="str">
        <f>VLOOKUP(B285,Students!$A$1:$C$101,3,FALSE)</f>
        <v>F</v>
      </c>
      <c r="H285" t="str">
        <f>VLOOKUP(C285,Courses!$A$1:$B$11,2,FALSE)</f>
        <v>DBMS</v>
      </c>
      <c r="I285" t="str">
        <f>VLOOKUP(B285,Students!$A$1:$E$101,5,0)</f>
        <v>Civil</v>
      </c>
      <c r="J285">
        <f>VLOOKUP(C285,Courses!$A$1:$C$11,3,FALSE)</f>
        <v>4</v>
      </c>
    </row>
    <row r="286" spans="1:10">
      <c r="A286" t="s">
        <v>491</v>
      </c>
      <c r="B286" t="s">
        <v>84</v>
      </c>
      <c r="C286" t="s">
        <v>130</v>
      </c>
      <c r="D286">
        <v>10</v>
      </c>
      <c r="E286" t="s">
        <v>210</v>
      </c>
      <c r="F286" t="str">
        <f>VLOOKUP(B286,Students!$A$1:$C$101,2,FALSE)</f>
        <v>Nisha Gupta</v>
      </c>
      <c r="G286" t="str">
        <f>VLOOKUP(B286,Students!$A$1:$C$101,3,FALSE)</f>
        <v>M</v>
      </c>
      <c r="H286" t="str">
        <f>VLOOKUP(C286,Courses!$A$1:$B$11,2,FALSE)</f>
        <v>Data Structures</v>
      </c>
      <c r="I286" t="str">
        <f>VLOOKUP(B286,Students!$A$1:$E$101,5,0)</f>
        <v>Civil</v>
      </c>
      <c r="J286">
        <f>VLOOKUP(C286,Courses!$A$1:$C$11,3,FALSE)</f>
        <v>3</v>
      </c>
    </row>
    <row r="287" spans="1:10">
      <c r="A287" t="s">
        <v>492</v>
      </c>
      <c r="B287" t="s">
        <v>61</v>
      </c>
      <c r="C287" t="s">
        <v>132</v>
      </c>
      <c r="D287">
        <v>10</v>
      </c>
      <c r="E287" t="s">
        <v>207</v>
      </c>
      <c r="F287" t="str">
        <f>VLOOKUP(B287,Students!$A$1:$C$101,2,FALSE)</f>
        <v>Raj Mehta</v>
      </c>
      <c r="G287" t="str">
        <f>VLOOKUP(B287,Students!$A$1:$C$101,3,FALSE)</f>
        <v>M</v>
      </c>
      <c r="H287" t="str">
        <f>VLOOKUP(C287,Courses!$A$1:$B$11,2,FALSE)</f>
        <v>DBMS</v>
      </c>
      <c r="I287" t="str">
        <f>VLOOKUP(B287,Students!$A$1:$E$101,5,0)</f>
        <v>Electronics</v>
      </c>
      <c r="J287">
        <f>VLOOKUP(C287,Courses!$A$1:$C$11,3,FALSE)</f>
        <v>4</v>
      </c>
    </row>
    <row r="288" spans="1:10">
      <c r="A288" t="s">
        <v>493</v>
      </c>
      <c r="B288" t="s">
        <v>86</v>
      </c>
      <c r="C288" t="s">
        <v>148</v>
      </c>
      <c r="D288">
        <v>0</v>
      </c>
      <c r="E288" t="s">
        <v>204</v>
      </c>
      <c r="F288" t="str">
        <f>VLOOKUP(B288,Students!$A$1:$C$101,2,FALSE)</f>
        <v>Sneha Patil</v>
      </c>
      <c r="G288" t="str">
        <f>VLOOKUP(B288,Students!$A$1:$C$101,3,FALSE)</f>
        <v>M</v>
      </c>
      <c r="H288" t="str">
        <f>VLOOKUP(C288,Courses!$A$1:$B$11,2,FALSE)</f>
        <v>Finance</v>
      </c>
      <c r="I288" t="str">
        <f>VLOOKUP(B288,Students!$A$1:$E$101,5,0)</f>
        <v>Mechanical</v>
      </c>
      <c r="J288">
        <f>VLOOKUP(C288,Courses!$A$1:$C$11,3,FALSE)</f>
        <v>4</v>
      </c>
    </row>
    <row r="289" spans="1:10">
      <c r="A289" t="s">
        <v>494</v>
      </c>
      <c r="B289" t="s">
        <v>84</v>
      </c>
      <c r="C289" t="s">
        <v>148</v>
      </c>
      <c r="D289">
        <v>8</v>
      </c>
      <c r="E289" t="s">
        <v>210</v>
      </c>
      <c r="F289" t="str">
        <f>VLOOKUP(B289,Students!$A$1:$C$101,2,FALSE)</f>
        <v>Nisha Gupta</v>
      </c>
      <c r="G289" t="str">
        <f>VLOOKUP(B289,Students!$A$1:$C$101,3,FALSE)</f>
        <v>M</v>
      </c>
      <c r="H289" t="str">
        <f>VLOOKUP(C289,Courses!$A$1:$B$11,2,FALSE)</f>
        <v>Finance</v>
      </c>
      <c r="I289" t="str">
        <f>VLOOKUP(B289,Students!$A$1:$E$101,5,0)</f>
        <v>Civil</v>
      </c>
      <c r="J289">
        <f>VLOOKUP(C289,Courses!$A$1:$C$11,3,FALSE)</f>
        <v>4</v>
      </c>
    </row>
    <row r="290" spans="1:10">
      <c r="A290" t="s">
        <v>495</v>
      </c>
      <c r="B290" t="s">
        <v>104</v>
      </c>
      <c r="C290" t="s">
        <v>144</v>
      </c>
      <c r="D290">
        <v>0</v>
      </c>
      <c r="E290" t="s">
        <v>201</v>
      </c>
      <c r="F290" t="str">
        <f>VLOOKUP(B290,Students!$A$1:$C$101,2,FALSE)</f>
        <v>Amit Kumar</v>
      </c>
      <c r="G290" t="str">
        <f>VLOOKUP(B290,Students!$A$1:$C$101,3,FALSE)</f>
        <v>M</v>
      </c>
      <c r="H290" t="str">
        <f>VLOOKUP(C290,Courses!$A$1:$B$11,2,FALSE)</f>
        <v>Structural Analysis</v>
      </c>
      <c r="I290" t="str">
        <f>VLOOKUP(B290,Students!$A$1:$E$101,5,0)</f>
        <v>Civil</v>
      </c>
      <c r="J290">
        <f>VLOOKUP(C290,Courses!$A$1:$C$11,3,FALSE)</f>
        <v>4</v>
      </c>
    </row>
    <row r="291" spans="1:10">
      <c r="A291" t="s">
        <v>496</v>
      </c>
      <c r="B291" t="s">
        <v>24</v>
      </c>
      <c r="C291" t="s">
        <v>144</v>
      </c>
      <c r="D291">
        <v>10</v>
      </c>
      <c r="E291" t="s">
        <v>210</v>
      </c>
      <c r="F291" t="str">
        <f>VLOOKUP(B291,Students!$A$1:$C$101,2,FALSE)</f>
        <v>Amit Kumar</v>
      </c>
      <c r="G291" t="str">
        <f>VLOOKUP(B291,Students!$A$1:$C$101,3,FALSE)</f>
        <v>F</v>
      </c>
      <c r="H291" t="str">
        <f>VLOOKUP(C291,Courses!$A$1:$B$11,2,FALSE)</f>
        <v>Structural Analysis</v>
      </c>
      <c r="I291" t="str">
        <f>VLOOKUP(B291,Students!$A$1:$E$101,5,0)</f>
        <v>Mechanical</v>
      </c>
      <c r="J291">
        <f>VLOOKUP(C291,Courses!$A$1:$C$11,3,FALSE)</f>
        <v>4</v>
      </c>
    </row>
    <row r="292" spans="1:10">
      <c r="A292" t="s">
        <v>497</v>
      </c>
      <c r="B292" t="s">
        <v>118</v>
      </c>
      <c r="C292" t="s">
        <v>132</v>
      </c>
      <c r="D292">
        <v>0</v>
      </c>
      <c r="E292" t="s">
        <v>201</v>
      </c>
      <c r="F292" t="str">
        <f>VLOOKUP(B292,Students!$A$1:$C$101,2,FALSE)</f>
        <v>Ankit Sharma</v>
      </c>
      <c r="G292" t="str">
        <f>VLOOKUP(B292,Students!$A$1:$C$101,3,FALSE)</f>
        <v>M</v>
      </c>
      <c r="H292" t="str">
        <f>VLOOKUP(C292,Courses!$A$1:$B$11,2,FALSE)</f>
        <v>DBMS</v>
      </c>
      <c r="I292" t="str">
        <f>VLOOKUP(B292,Students!$A$1:$E$101,5,0)</f>
        <v>Mechanical</v>
      </c>
      <c r="J292">
        <f>VLOOKUP(C292,Courses!$A$1:$C$11,3,FALSE)</f>
        <v>4</v>
      </c>
    </row>
    <row r="293" spans="1:10">
      <c r="A293" t="s">
        <v>498</v>
      </c>
      <c r="B293" t="s">
        <v>19</v>
      </c>
      <c r="C293" t="s">
        <v>136</v>
      </c>
      <c r="D293">
        <v>4</v>
      </c>
      <c r="E293" t="s">
        <v>207</v>
      </c>
      <c r="F293" t="str">
        <f>VLOOKUP(B293,Students!$A$1:$C$101,2,FALSE)</f>
        <v>Sara Khan</v>
      </c>
      <c r="G293" t="str">
        <f>VLOOKUP(B293,Students!$A$1:$C$101,3,FALSE)</f>
        <v>M</v>
      </c>
      <c r="H293" t="str">
        <f>VLOOKUP(C293,Courses!$A$1:$B$11,2,FALSE)</f>
        <v>Circuits</v>
      </c>
      <c r="I293" t="str">
        <f>VLOOKUP(B293,Students!$A$1:$E$101,5,0)</f>
        <v>Management</v>
      </c>
      <c r="J293">
        <f>VLOOKUP(C293,Courses!$A$1:$C$11,3,FALSE)</f>
        <v>4</v>
      </c>
    </row>
    <row r="294" spans="1:10">
      <c r="A294" t="s">
        <v>499</v>
      </c>
      <c r="B294" t="s">
        <v>94</v>
      </c>
      <c r="C294" t="s">
        <v>146</v>
      </c>
      <c r="D294">
        <v>0</v>
      </c>
      <c r="E294" t="s">
        <v>201</v>
      </c>
      <c r="F294" t="str">
        <f>VLOOKUP(B294,Students!$A$1:$C$101,2,FALSE)</f>
        <v>Robert Taylor</v>
      </c>
      <c r="G294" t="str">
        <f>VLOOKUP(B294,Students!$A$1:$C$101,3,FALSE)</f>
        <v>F</v>
      </c>
      <c r="H294" t="str">
        <f>VLOOKUP(C294,Courses!$A$1:$B$11,2,FALSE)</f>
        <v>Marketing</v>
      </c>
      <c r="I294" t="str">
        <f>VLOOKUP(B294,Students!$A$1:$E$101,5,0)</f>
        <v>Mechanical</v>
      </c>
      <c r="J294">
        <f>VLOOKUP(C294,Courses!$A$1:$C$11,3,FALSE)</f>
        <v>3</v>
      </c>
    </row>
    <row r="295" spans="1:10">
      <c r="A295" t="s">
        <v>500</v>
      </c>
      <c r="B295" t="s">
        <v>72</v>
      </c>
      <c r="C295" t="s">
        <v>140</v>
      </c>
      <c r="D295">
        <v>6</v>
      </c>
      <c r="E295" t="s">
        <v>207</v>
      </c>
      <c r="F295" t="str">
        <f>VLOOKUP(B295,Students!$A$1:$C$101,2,FALSE)</f>
        <v>Nisha Gupta</v>
      </c>
      <c r="G295" t="str">
        <f>VLOOKUP(B295,Students!$A$1:$C$101,3,FALSE)</f>
        <v>F</v>
      </c>
      <c r="H295" t="str">
        <f>VLOOKUP(C295,Courses!$A$1:$B$11,2,FALSE)</f>
        <v>Fluid Mechanics</v>
      </c>
      <c r="I295" t="str">
        <f>VLOOKUP(B295,Students!$A$1:$E$101,5,0)</f>
        <v>Management</v>
      </c>
      <c r="J295">
        <f>VLOOKUP(C295,Courses!$A$1:$C$11,3,FALSE)</f>
        <v>4</v>
      </c>
    </row>
    <row r="296" spans="1:10">
      <c r="A296" t="s">
        <v>501</v>
      </c>
      <c r="B296" t="s">
        <v>79</v>
      </c>
      <c r="C296" t="s">
        <v>140</v>
      </c>
      <c r="D296">
        <v>0</v>
      </c>
      <c r="E296" t="s">
        <v>204</v>
      </c>
      <c r="F296" t="str">
        <f>VLOOKUP(B296,Students!$A$1:$C$101,2,FALSE)</f>
        <v>Emily Davis</v>
      </c>
      <c r="G296" t="str">
        <f>VLOOKUP(B296,Students!$A$1:$C$101,3,FALSE)</f>
        <v>M</v>
      </c>
      <c r="H296" t="str">
        <f>VLOOKUP(C296,Courses!$A$1:$B$11,2,FALSE)</f>
        <v>Fluid Mechanics</v>
      </c>
      <c r="I296" t="str">
        <f>VLOOKUP(B296,Students!$A$1:$E$101,5,0)</f>
        <v>Civil</v>
      </c>
      <c r="J296">
        <f>VLOOKUP(C296,Courses!$A$1:$C$11,3,FALSE)</f>
        <v>4</v>
      </c>
    </row>
    <row r="297" spans="1:10">
      <c r="A297" t="s">
        <v>502</v>
      </c>
      <c r="B297" t="s">
        <v>107</v>
      </c>
      <c r="C297" t="s">
        <v>140</v>
      </c>
      <c r="D297">
        <v>10</v>
      </c>
      <c r="E297" t="s">
        <v>210</v>
      </c>
      <c r="F297" t="str">
        <f>VLOOKUP(B297,Students!$A$1:$C$101,2,FALSE)</f>
        <v>James Clark</v>
      </c>
      <c r="G297" t="str">
        <f>VLOOKUP(B297,Students!$A$1:$C$101,3,FALSE)</f>
        <v>M</v>
      </c>
      <c r="H297" t="str">
        <f>VLOOKUP(C297,Courses!$A$1:$B$11,2,FALSE)</f>
        <v>Fluid Mechanics</v>
      </c>
      <c r="I297" t="str">
        <f>VLOOKUP(B297,Students!$A$1:$E$101,5,0)</f>
        <v>Electronics</v>
      </c>
      <c r="J297">
        <f>VLOOKUP(C297,Courses!$A$1:$C$11,3,FALSE)</f>
        <v>4</v>
      </c>
    </row>
    <row r="298" spans="1:10">
      <c r="A298" t="s">
        <v>503</v>
      </c>
      <c r="B298" t="s">
        <v>33</v>
      </c>
      <c r="C298" t="s">
        <v>146</v>
      </c>
      <c r="D298">
        <v>4</v>
      </c>
      <c r="E298" t="s">
        <v>210</v>
      </c>
      <c r="F298" t="str">
        <f>VLOOKUP(B298,Students!$A$1:$C$101,2,FALSE)</f>
        <v>Emily Davis</v>
      </c>
      <c r="G298" t="str">
        <f>VLOOKUP(B298,Students!$A$1:$C$101,3,FALSE)</f>
        <v>F</v>
      </c>
      <c r="H298" t="str">
        <f>VLOOKUP(C298,Courses!$A$1:$B$11,2,FALSE)</f>
        <v>Marketing</v>
      </c>
      <c r="I298" t="str">
        <f>VLOOKUP(B298,Students!$A$1:$E$101,5,0)</f>
        <v>Management</v>
      </c>
      <c r="J298">
        <f>VLOOKUP(C298,Courses!$A$1:$C$11,3,FALSE)</f>
        <v>3</v>
      </c>
    </row>
    <row r="299" spans="1:10">
      <c r="A299" t="s">
        <v>504</v>
      </c>
      <c r="B299" t="s">
        <v>57</v>
      </c>
      <c r="C299" t="s">
        <v>148</v>
      </c>
      <c r="D299">
        <v>8</v>
      </c>
      <c r="E299" t="s">
        <v>210</v>
      </c>
      <c r="F299" t="str">
        <f>VLOOKUP(B299,Students!$A$1:$C$101,2,FALSE)</f>
        <v>Daniel Lee</v>
      </c>
      <c r="G299" t="str">
        <f>VLOOKUP(B299,Students!$A$1:$C$101,3,FALSE)</f>
        <v>F</v>
      </c>
      <c r="H299" t="str">
        <f>VLOOKUP(C299,Courses!$A$1:$B$11,2,FALSE)</f>
        <v>Finance</v>
      </c>
      <c r="I299" t="str">
        <f>VLOOKUP(B299,Students!$A$1:$E$101,5,0)</f>
        <v>Computer Sci</v>
      </c>
      <c r="J299">
        <f>VLOOKUP(C299,Courses!$A$1:$C$11,3,FALSE)</f>
        <v>4</v>
      </c>
    </row>
    <row r="300" spans="1:10">
      <c r="A300" t="s">
        <v>505</v>
      </c>
      <c r="B300" t="s">
        <v>30</v>
      </c>
      <c r="C300" t="s">
        <v>148</v>
      </c>
      <c r="D300">
        <v>8</v>
      </c>
      <c r="E300" t="s">
        <v>210</v>
      </c>
      <c r="F300" t="str">
        <f>VLOOKUP(B300,Students!$A$1:$C$101,2,FALSE)</f>
        <v>Raj Mehta</v>
      </c>
      <c r="G300" t="str">
        <f>VLOOKUP(B300,Students!$A$1:$C$101,3,FALSE)</f>
        <v>F</v>
      </c>
      <c r="H300" t="str">
        <f>VLOOKUP(C300,Courses!$A$1:$B$11,2,FALSE)</f>
        <v>Finance</v>
      </c>
      <c r="I300" t="str">
        <f>VLOOKUP(B300,Students!$A$1:$E$101,5,0)</f>
        <v>Civil</v>
      </c>
      <c r="J300">
        <f>VLOOKUP(C300,Courses!$A$1:$C$11,3,FALSE)</f>
        <v>4</v>
      </c>
    </row>
    <row r="301" spans="1:10">
      <c r="A301" t="s">
        <v>506</v>
      </c>
      <c r="B301" t="s">
        <v>64</v>
      </c>
      <c r="C301" t="s">
        <v>142</v>
      </c>
      <c r="D301">
        <v>8</v>
      </c>
      <c r="E301" t="s">
        <v>204</v>
      </c>
      <c r="F301" t="str">
        <f>VLOOKUP(B301,Students!$A$1:$C$101,2,FALSE)</f>
        <v>James Clark</v>
      </c>
      <c r="G301" t="str">
        <f>VLOOKUP(B301,Students!$A$1:$C$101,3,FALSE)</f>
        <v>F</v>
      </c>
      <c r="H301" t="str">
        <f>VLOOKUP(C301,Courses!$A$1:$B$11,2,FALSE)</f>
        <v>Digital Logic</v>
      </c>
      <c r="I301" t="str">
        <f>VLOOKUP(B301,Students!$A$1:$E$101,5,0)</f>
        <v>Mechanical</v>
      </c>
      <c r="J301">
        <f>VLOOKUP(C301,Courses!$A$1:$C$11,3,FALSE)</f>
        <v>3</v>
      </c>
    </row>
    <row r="302" spans="1:10">
      <c r="A302" t="s">
        <v>507</v>
      </c>
      <c r="B302" t="s">
        <v>64</v>
      </c>
      <c r="C302" t="s">
        <v>146</v>
      </c>
      <c r="D302">
        <v>4</v>
      </c>
      <c r="E302" t="s">
        <v>210</v>
      </c>
      <c r="F302" t="str">
        <f>VLOOKUP(B302,Students!$A$1:$C$101,2,FALSE)</f>
        <v>James Clark</v>
      </c>
      <c r="G302" t="str">
        <f>VLOOKUP(B302,Students!$A$1:$C$101,3,FALSE)</f>
        <v>F</v>
      </c>
      <c r="H302" t="str">
        <f>VLOOKUP(C302,Courses!$A$1:$B$11,2,FALSE)</f>
        <v>Marketing</v>
      </c>
      <c r="I302" t="str">
        <f>VLOOKUP(B302,Students!$A$1:$E$101,5,0)</f>
        <v>Mechanical</v>
      </c>
      <c r="J302">
        <f>VLOOKUP(C302,Courses!$A$1:$C$11,3,FALSE)</f>
        <v>3</v>
      </c>
    </row>
    <row r="303" spans="1:10">
      <c r="A303" t="s">
        <v>508</v>
      </c>
      <c r="B303" t="s">
        <v>38</v>
      </c>
      <c r="C303" t="s">
        <v>146</v>
      </c>
      <c r="D303">
        <v>10</v>
      </c>
      <c r="E303" t="s">
        <v>207</v>
      </c>
      <c r="F303" t="str">
        <f>VLOOKUP(B303,Students!$A$1:$C$101,2,FALSE)</f>
        <v>Michael Brown</v>
      </c>
      <c r="G303" t="str">
        <f>VLOOKUP(B303,Students!$A$1:$C$101,3,FALSE)</f>
        <v>F</v>
      </c>
      <c r="H303" t="str">
        <f>VLOOKUP(C303,Courses!$A$1:$B$11,2,FALSE)</f>
        <v>Marketing</v>
      </c>
      <c r="I303" t="str">
        <f>VLOOKUP(B303,Students!$A$1:$E$101,5,0)</f>
        <v>Electronics</v>
      </c>
      <c r="J303">
        <f>VLOOKUP(C303,Courses!$A$1:$C$11,3,FALSE)</f>
        <v>3</v>
      </c>
    </row>
    <row r="304" spans="1:10">
      <c r="A304" t="s">
        <v>509</v>
      </c>
      <c r="B304" t="s">
        <v>92</v>
      </c>
      <c r="C304" t="s">
        <v>140</v>
      </c>
      <c r="D304">
        <v>10</v>
      </c>
      <c r="E304" t="s">
        <v>210</v>
      </c>
      <c r="F304" t="str">
        <f>VLOOKUP(B304,Students!$A$1:$C$101,2,FALSE)</f>
        <v>James Clark</v>
      </c>
      <c r="G304" t="str">
        <f>VLOOKUP(B304,Students!$A$1:$C$101,3,FALSE)</f>
        <v>M</v>
      </c>
      <c r="H304" t="str">
        <f>VLOOKUP(C304,Courses!$A$1:$B$11,2,FALSE)</f>
        <v>Fluid Mechanics</v>
      </c>
      <c r="I304" t="str">
        <f>VLOOKUP(B304,Students!$A$1:$E$101,5,0)</f>
        <v>Civil</v>
      </c>
      <c r="J304">
        <f>VLOOKUP(C304,Courses!$A$1:$C$11,3,FALSE)</f>
        <v>4</v>
      </c>
    </row>
    <row r="305" spans="1:10">
      <c r="A305" t="s">
        <v>510</v>
      </c>
      <c r="B305" t="s">
        <v>64</v>
      </c>
      <c r="C305" t="s">
        <v>134</v>
      </c>
      <c r="D305">
        <v>8</v>
      </c>
      <c r="E305" t="s">
        <v>210</v>
      </c>
      <c r="F305" t="str">
        <f>VLOOKUP(B305,Students!$A$1:$C$101,2,FALSE)</f>
        <v>James Clark</v>
      </c>
      <c r="G305" t="str">
        <f>VLOOKUP(B305,Students!$A$1:$C$101,3,FALSE)</f>
        <v>F</v>
      </c>
      <c r="H305" t="str">
        <f>VLOOKUP(C305,Courses!$A$1:$B$11,2,FALSE)</f>
        <v>Thermodynamics</v>
      </c>
      <c r="I305" t="str">
        <f>VLOOKUP(B305,Students!$A$1:$E$101,5,0)</f>
        <v>Mechanical</v>
      </c>
      <c r="J305">
        <f>VLOOKUP(C305,Courses!$A$1:$C$11,3,FALSE)</f>
        <v>3</v>
      </c>
    </row>
    <row r="306" spans="1:10">
      <c r="A306" t="s">
        <v>511</v>
      </c>
      <c r="B306" t="s">
        <v>125</v>
      </c>
      <c r="C306" t="s">
        <v>144</v>
      </c>
      <c r="D306">
        <v>8</v>
      </c>
      <c r="E306" t="s">
        <v>201</v>
      </c>
      <c r="F306" t="str">
        <f>VLOOKUP(B306,Students!$A$1:$C$101,2,FALSE)</f>
        <v>Sophia Wilson</v>
      </c>
      <c r="G306" t="str">
        <f>VLOOKUP(B306,Students!$A$1:$C$101,3,FALSE)</f>
        <v>M</v>
      </c>
      <c r="H306" t="str">
        <f>VLOOKUP(C306,Courses!$A$1:$B$11,2,FALSE)</f>
        <v>Structural Analysis</v>
      </c>
      <c r="I306" t="str">
        <f>VLOOKUP(B306,Students!$A$1:$E$101,5,0)</f>
        <v>Civil</v>
      </c>
      <c r="J306">
        <f>VLOOKUP(C306,Courses!$A$1:$C$11,3,FALSE)</f>
        <v>4</v>
      </c>
    </row>
    <row r="307" spans="1:10">
      <c r="A307" t="s">
        <v>512</v>
      </c>
      <c r="B307" t="s">
        <v>40</v>
      </c>
      <c r="C307" t="s">
        <v>134</v>
      </c>
      <c r="D307">
        <v>10</v>
      </c>
      <c r="E307" t="s">
        <v>210</v>
      </c>
      <c r="F307" t="str">
        <f>VLOOKUP(B307,Students!$A$1:$C$101,2,FALSE)</f>
        <v>Amit Kumar</v>
      </c>
      <c r="G307" t="str">
        <f>VLOOKUP(B307,Students!$A$1:$C$101,3,FALSE)</f>
        <v>M</v>
      </c>
      <c r="H307" t="str">
        <f>VLOOKUP(C307,Courses!$A$1:$B$11,2,FALSE)</f>
        <v>Thermodynamics</v>
      </c>
      <c r="I307" t="str">
        <f>VLOOKUP(B307,Students!$A$1:$E$101,5,0)</f>
        <v>Computer Sci</v>
      </c>
      <c r="J307">
        <f>VLOOKUP(C307,Courses!$A$1:$C$11,3,FALSE)</f>
        <v>3</v>
      </c>
    </row>
    <row r="308" spans="1:10">
      <c r="A308" t="s">
        <v>513</v>
      </c>
      <c r="B308" t="s">
        <v>33</v>
      </c>
      <c r="C308" t="s">
        <v>146</v>
      </c>
      <c r="D308">
        <v>0</v>
      </c>
      <c r="E308" t="s">
        <v>204</v>
      </c>
      <c r="F308" t="str">
        <f>VLOOKUP(B308,Students!$A$1:$C$101,2,FALSE)</f>
        <v>Emily Davis</v>
      </c>
      <c r="G308" t="str">
        <f>VLOOKUP(B308,Students!$A$1:$C$101,3,FALSE)</f>
        <v>F</v>
      </c>
      <c r="H308" t="str">
        <f>VLOOKUP(C308,Courses!$A$1:$B$11,2,FALSE)</f>
        <v>Marketing</v>
      </c>
      <c r="I308" t="str">
        <f>VLOOKUP(B308,Students!$A$1:$E$101,5,0)</f>
        <v>Management</v>
      </c>
      <c r="J308">
        <f>VLOOKUP(C308,Courses!$A$1:$C$11,3,FALSE)</f>
        <v>3</v>
      </c>
    </row>
    <row r="309" spans="1:10">
      <c r="A309" t="s">
        <v>514</v>
      </c>
      <c r="B309" t="s">
        <v>111</v>
      </c>
      <c r="C309" t="s">
        <v>140</v>
      </c>
      <c r="D309">
        <v>0</v>
      </c>
      <c r="E309" t="s">
        <v>201</v>
      </c>
      <c r="F309" t="str">
        <f>VLOOKUP(B309,Students!$A$1:$C$101,2,FALSE)</f>
        <v>Priya Verma</v>
      </c>
      <c r="G309" t="str">
        <f>VLOOKUP(B309,Students!$A$1:$C$101,3,FALSE)</f>
        <v>M</v>
      </c>
      <c r="H309" t="str">
        <f>VLOOKUP(C309,Courses!$A$1:$B$11,2,FALSE)</f>
        <v>Fluid Mechanics</v>
      </c>
      <c r="I309" t="str">
        <f>VLOOKUP(B309,Students!$A$1:$E$101,5,0)</f>
        <v>Electronics</v>
      </c>
      <c r="J309">
        <f>VLOOKUP(C309,Courses!$A$1:$C$11,3,FALSE)</f>
        <v>4</v>
      </c>
    </row>
    <row r="310" spans="1:10">
      <c r="A310" t="s">
        <v>515</v>
      </c>
      <c r="B310" t="s">
        <v>103</v>
      </c>
      <c r="C310" t="s">
        <v>142</v>
      </c>
      <c r="D310">
        <v>8</v>
      </c>
      <c r="E310" t="s">
        <v>201</v>
      </c>
      <c r="F310" t="str">
        <f>VLOOKUP(B310,Students!$A$1:$C$101,2,FALSE)</f>
        <v>Sara Khan</v>
      </c>
      <c r="G310" t="str">
        <f>VLOOKUP(B310,Students!$A$1:$C$101,3,FALSE)</f>
        <v>M</v>
      </c>
      <c r="H310" t="str">
        <f>VLOOKUP(C310,Courses!$A$1:$B$11,2,FALSE)</f>
        <v>Digital Logic</v>
      </c>
      <c r="I310" t="str">
        <f>VLOOKUP(B310,Students!$A$1:$E$101,5,0)</f>
        <v>Civil</v>
      </c>
      <c r="J310">
        <f>VLOOKUP(C310,Courses!$A$1:$C$11,3,FALSE)</f>
        <v>3</v>
      </c>
    </row>
    <row r="311" spans="1:10">
      <c r="A311" t="s">
        <v>516</v>
      </c>
      <c r="B311" t="s">
        <v>46</v>
      </c>
      <c r="C311" t="s">
        <v>148</v>
      </c>
      <c r="D311">
        <v>8</v>
      </c>
      <c r="E311" t="s">
        <v>207</v>
      </c>
      <c r="F311" t="str">
        <f>VLOOKUP(B311,Students!$A$1:$C$101,2,FALSE)</f>
        <v>James Clark</v>
      </c>
      <c r="G311" t="str">
        <f>VLOOKUP(B311,Students!$A$1:$C$101,3,FALSE)</f>
        <v>F</v>
      </c>
      <c r="H311" t="str">
        <f>VLOOKUP(C311,Courses!$A$1:$B$11,2,FALSE)</f>
        <v>Finance</v>
      </c>
      <c r="I311" t="str">
        <f>VLOOKUP(B311,Students!$A$1:$E$101,5,0)</f>
        <v>Civil</v>
      </c>
      <c r="J311">
        <f>VLOOKUP(C311,Courses!$A$1:$C$11,3,FALSE)</f>
        <v>4</v>
      </c>
    </row>
    <row r="312" spans="1:10">
      <c r="A312" t="s">
        <v>517</v>
      </c>
      <c r="B312" t="s">
        <v>19</v>
      </c>
      <c r="C312" t="s">
        <v>142</v>
      </c>
      <c r="D312">
        <v>6</v>
      </c>
      <c r="E312" t="s">
        <v>201</v>
      </c>
      <c r="F312" t="str">
        <f>VLOOKUP(B312,Students!$A$1:$C$101,2,FALSE)</f>
        <v>Sara Khan</v>
      </c>
      <c r="G312" t="str">
        <f>VLOOKUP(B312,Students!$A$1:$C$101,3,FALSE)</f>
        <v>M</v>
      </c>
      <c r="H312" t="str">
        <f>VLOOKUP(C312,Courses!$A$1:$B$11,2,FALSE)</f>
        <v>Digital Logic</v>
      </c>
      <c r="I312" t="str">
        <f>VLOOKUP(B312,Students!$A$1:$E$101,5,0)</f>
        <v>Management</v>
      </c>
      <c r="J312">
        <f>VLOOKUP(C312,Courses!$A$1:$C$11,3,FALSE)</f>
        <v>3</v>
      </c>
    </row>
    <row r="313" spans="1:10">
      <c r="A313" t="s">
        <v>518</v>
      </c>
      <c r="B313" t="s">
        <v>83</v>
      </c>
      <c r="C313" t="s">
        <v>148</v>
      </c>
      <c r="D313">
        <v>6</v>
      </c>
      <c r="E313" t="s">
        <v>207</v>
      </c>
      <c r="F313" t="str">
        <f>VLOOKUP(B313,Students!$A$1:$C$101,2,FALSE)</f>
        <v>Sara Khan</v>
      </c>
      <c r="G313" t="str">
        <f>VLOOKUP(B313,Students!$A$1:$C$101,3,FALSE)</f>
        <v>F</v>
      </c>
      <c r="H313" t="str">
        <f>VLOOKUP(C313,Courses!$A$1:$B$11,2,FALSE)</f>
        <v>Finance</v>
      </c>
      <c r="I313" t="str">
        <f>VLOOKUP(B313,Students!$A$1:$E$101,5,0)</f>
        <v>Computer Sci</v>
      </c>
      <c r="J313">
        <f>VLOOKUP(C313,Courses!$A$1:$C$11,3,FALSE)</f>
        <v>4</v>
      </c>
    </row>
    <row r="314" spans="1:10">
      <c r="A314" t="s">
        <v>519</v>
      </c>
      <c r="B314" t="s">
        <v>54</v>
      </c>
      <c r="C314" t="s">
        <v>146</v>
      </c>
      <c r="D314">
        <v>8</v>
      </c>
      <c r="E314" t="s">
        <v>210</v>
      </c>
      <c r="F314" t="str">
        <f>VLOOKUP(B314,Students!$A$1:$C$101,2,FALSE)</f>
        <v>Daniel Lee</v>
      </c>
      <c r="G314" t="str">
        <f>VLOOKUP(B314,Students!$A$1:$C$101,3,FALSE)</f>
        <v>F</v>
      </c>
      <c r="H314" t="str">
        <f>VLOOKUP(C314,Courses!$A$1:$B$11,2,FALSE)</f>
        <v>Marketing</v>
      </c>
      <c r="I314" t="str">
        <f>VLOOKUP(B314,Students!$A$1:$E$101,5,0)</f>
        <v>Civil</v>
      </c>
      <c r="J314">
        <f>VLOOKUP(C314,Courses!$A$1:$C$11,3,FALSE)</f>
        <v>3</v>
      </c>
    </row>
    <row r="315" spans="1:10">
      <c r="A315" t="s">
        <v>520</v>
      </c>
      <c r="B315" t="s">
        <v>87</v>
      </c>
      <c r="C315" t="s">
        <v>136</v>
      </c>
      <c r="D315">
        <v>6</v>
      </c>
      <c r="E315" t="s">
        <v>207</v>
      </c>
      <c r="F315" t="str">
        <f>VLOOKUP(B315,Students!$A$1:$C$101,2,FALSE)</f>
        <v>Sara Khan</v>
      </c>
      <c r="G315" t="str">
        <f>VLOOKUP(B315,Students!$A$1:$C$101,3,FALSE)</f>
        <v>M</v>
      </c>
      <c r="H315" t="str">
        <f>VLOOKUP(C315,Courses!$A$1:$B$11,2,FALSE)</f>
        <v>Circuits</v>
      </c>
      <c r="I315" t="str">
        <f>VLOOKUP(B315,Students!$A$1:$E$101,5,0)</f>
        <v>Civil</v>
      </c>
      <c r="J315">
        <f>VLOOKUP(C315,Courses!$A$1:$C$11,3,FALSE)</f>
        <v>4</v>
      </c>
    </row>
    <row r="316" spans="1:10">
      <c r="A316" t="s">
        <v>521</v>
      </c>
      <c r="B316" t="s">
        <v>86</v>
      </c>
      <c r="C316" t="s">
        <v>138</v>
      </c>
      <c r="D316">
        <v>4</v>
      </c>
      <c r="E316" t="s">
        <v>207</v>
      </c>
      <c r="F316" t="str">
        <f>VLOOKUP(B316,Students!$A$1:$C$101,2,FALSE)</f>
        <v>Sneha Patil</v>
      </c>
      <c r="G316" t="str">
        <f>VLOOKUP(B316,Students!$A$1:$C$101,3,FALSE)</f>
        <v>M</v>
      </c>
      <c r="H316" t="str">
        <f>VLOOKUP(C316,Courses!$A$1:$B$11,2,FALSE)</f>
        <v>AI &amp; ML</v>
      </c>
      <c r="I316" t="str">
        <f>VLOOKUP(B316,Students!$A$1:$E$101,5,0)</f>
        <v>Mechanical</v>
      </c>
      <c r="J316">
        <f>VLOOKUP(C316,Courses!$A$1:$C$11,3,FALSE)</f>
        <v>3</v>
      </c>
    </row>
    <row r="317" spans="1:10">
      <c r="A317" t="s">
        <v>522</v>
      </c>
      <c r="B317" t="s">
        <v>43</v>
      </c>
      <c r="C317" t="s">
        <v>136</v>
      </c>
      <c r="D317">
        <v>0</v>
      </c>
      <c r="E317" t="s">
        <v>201</v>
      </c>
      <c r="F317" t="str">
        <f>VLOOKUP(B317,Students!$A$1:$C$101,2,FALSE)</f>
        <v>Sneha Patil</v>
      </c>
      <c r="G317" t="str">
        <f>VLOOKUP(B317,Students!$A$1:$C$101,3,FALSE)</f>
        <v>F</v>
      </c>
      <c r="H317" t="str">
        <f>VLOOKUP(C317,Courses!$A$1:$B$11,2,FALSE)</f>
        <v>Circuits</v>
      </c>
      <c r="I317" t="str">
        <f>VLOOKUP(B317,Students!$A$1:$E$101,5,0)</f>
        <v>Mechanical</v>
      </c>
      <c r="J317">
        <f>VLOOKUP(C317,Courses!$A$1:$C$11,3,FALSE)</f>
        <v>4</v>
      </c>
    </row>
    <row r="318" spans="1:10">
      <c r="A318" t="s">
        <v>523</v>
      </c>
      <c r="B318" t="s">
        <v>57</v>
      </c>
      <c r="C318" t="s">
        <v>130</v>
      </c>
      <c r="D318">
        <v>4</v>
      </c>
      <c r="E318" t="s">
        <v>210</v>
      </c>
      <c r="F318" t="str">
        <f>VLOOKUP(B318,Students!$A$1:$C$101,2,FALSE)</f>
        <v>Daniel Lee</v>
      </c>
      <c r="G318" t="str">
        <f>VLOOKUP(B318,Students!$A$1:$C$101,3,FALSE)</f>
        <v>F</v>
      </c>
      <c r="H318" t="str">
        <f>VLOOKUP(C318,Courses!$A$1:$B$11,2,FALSE)</f>
        <v>Data Structures</v>
      </c>
      <c r="I318" t="str">
        <f>VLOOKUP(B318,Students!$A$1:$E$101,5,0)</f>
        <v>Computer Sci</v>
      </c>
      <c r="J318">
        <f>VLOOKUP(C318,Courses!$A$1:$C$11,3,FALSE)</f>
        <v>3</v>
      </c>
    </row>
    <row r="319" spans="1:10">
      <c r="A319" t="s">
        <v>524</v>
      </c>
      <c r="B319" t="s">
        <v>97</v>
      </c>
      <c r="C319" t="s">
        <v>132</v>
      </c>
      <c r="D319">
        <v>0</v>
      </c>
      <c r="E319" t="s">
        <v>204</v>
      </c>
      <c r="F319" t="str">
        <f>VLOOKUP(B319,Students!$A$1:$C$101,2,FALSE)</f>
        <v>Ankit Sharma</v>
      </c>
      <c r="G319" t="str">
        <f>VLOOKUP(B319,Students!$A$1:$C$101,3,FALSE)</f>
        <v>F</v>
      </c>
      <c r="H319" t="str">
        <f>VLOOKUP(C319,Courses!$A$1:$B$11,2,FALSE)</f>
        <v>DBMS</v>
      </c>
      <c r="I319" t="str">
        <f>VLOOKUP(B319,Students!$A$1:$E$101,5,0)</f>
        <v>Computer Sci</v>
      </c>
      <c r="J319">
        <f>VLOOKUP(C319,Courses!$A$1:$C$11,3,FALSE)</f>
        <v>4</v>
      </c>
    </row>
    <row r="320" spans="1:10">
      <c r="A320" t="s">
        <v>525</v>
      </c>
      <c r="B320" t="s">
        <v>61</v>
      </c>
      <c r="C320" t="s">
        <v>132</v>
      </c>
      <c r="D320">
        <v>8</v>
      </c>
      <c r="E320" t="s">
        <v>210</v>
      </c>
      <c r="F320" t="str">
        <f>VLOOKUP(B320,Students!$A$1:$C$101,2,FALSE)</f>
        <v>Raj Mehta</v>
      </c>
      <c r="G320" t="str">
        <f>VLOOKUP(B320,Students!$A$1:$C$101,3,FALSE)</f>
        <v>M</v>
      </c>
      <c r="H320" t="str">
        <f>VLOOKUP(C320,Courses!$A$1:$B$11,2,FALSE)</f>
        <v>DBMS</v>
      </c>
      <c r="I320" t="str">
        <f>VLOOKUP(B320,Students!$A$1:$E$101,5,0)</f>
        <v>Electronics</v>
      </c>
      <c r="J320">
        <f>VLOOKUP(C320,Courses!$A$1:$C$11,3,FALSE)</f>
        <v>4</v>
      </c>
    </row>
    <row r="321" spans="1:10">
      <c r="A321" t="s">
        <v>526</v>
      </c>
      <c r="B321" t="s">
        <v>84</v>
      </c>
      <c r="C321" t="s">
        <v>146</v>
      </c>
      <c r="D321">
        <v>8</v>
      </c>
      <c r="E321" t="s">
        <v>207</v>
      </c>
      <c r="F321" t="str">
        <f>VLOOKUP(B321,Students!$A$1:$C$101,2,FALSE)</f>
        <v>Nisha Gupta</v>
      </c>
      <c r="G321" t="str">
        <f>VLOOKUP(B321,Students!$A$1:$C$101,3,FALSE)</f>
        <v>M</v>
      </c>
      <c r="H321" t="str">
        <f>VLOOKUP(C321,Courses!$A$1:$B$11,2,FALSE)</f>
        <v>Marketing</v>
      </c>
      <c r="I321" t="str">
        <f>VLOOKUP(B321,Students!$A$1:$E$101,5,0)</f>
        <v>Civil</v>
      </c>
      <c r="J321">
        <f>VLOOKUP(C321,Courses!$A$1:$C$11,3,FALSE)</f>
        <v>3</v>
      </c>
    </row>
    <row r="322" spans="1:10">
      <c r="A322" t="s">
        <v>527</v>
      </c>
      <c r="B322" t="s">
        <v>32</v>
      </c>
      <c r="C322" t="s">
        <v>136</v>
      </c>
      <c r="D322">
        <v>4</v>
      </c>
      <c r="E322" t="s">
        <v>210</v>
      </c>
      <c r="F322" t="str">
        <f>VLOOKUP(B322,Students!$A$1:$C$101,2,FALSE)</f>
        <v>Emily Davis</v>
      </c>
      <c r="G322" t="str">
        <f>VLOOKUP(B322,Students!$A$1:$C$101,3,FALSE)</f>
        <v>M</v>
      </c>
      <c r="H322" t="str">
        <f>VLOOKUP(C322,Courses!$A$1:$B$11,2,FALSE)</f>
        <v>Circuits</v>
      </c>
      <c r="I322" t="str">
        <f>VLOOKUP(B322,Students!$A$1:$E$101,5,0)</f>
        <v>Computer Sci</v>
      </c>
      <c r="J322">
        <f>VLOOKUP(C322,Courses!$A$1:$C$11,3,FALSE)</f>
        <v>4</v>
      </c>
    </row>
    <row r="323" spans="1:10">
      <c r="A323" t="s">
        <v>528</v>
      </c>
      <c r="B323" t="s">
        <v>13</v>
      </c>
      <c r="C323" t="s">
        <v>142</v>
      </c>
      <c r="D323">
        <v>10</v>
      </c>
      <c r="E323" t="s">
        <v>207</v>
      </c>
      <c r="F323" t="str">
        <f>VLOOKUP(B323,Students!$A$1:$C$101,2,FALSE)</f>
        <v>Ankit Sharma</v>
      </c>
      <c r="G323" t="str">
        <f>VLOOKUP(B323,Students!$A$1:$C$101,3,FALSE)</f>
        <v>M</v>
      </c>
      <c r="H323" t="str">
        <f>VLOOKUP(C323,Courses!$A$1:$B$11,2,FALSE)</f>
        <v>Digital Logic</v>
      </c>
      <c r="I323" t="str">
        <f>VLOOKUP(B323,Students!$A$1:$E$101,5,0)</f>
        <v>Mechanical</v>
      </c>
      <c r="J323">
        <f>VLOOKUP(C323,Courses!$A$1:$C$11,3,FALSE)</f>
        <v>3</v>
      </c>
    </row>
    <row r="324" spans="1:10">
      <c r="A324" t="s">
        <v>529</v>
      </c>
      <c r="B324" t="s">
        <v>91</v>
      </c>
      <c r="C324" t="s">
        <v>140</v>
      </c>
      <c r="D324">
        <v>8</v>
      </c>
      <c r="E324" t="s">
        <v>207</v>
      </c>
      <c r="F324" t="str">
        <f>VLOOKUP(B324,Students!$A$1:$C$101,2,FALSE)</f>
        <v>Michael Brown</v>
      </c>
      <c r="G324" t="str">
        <f>VLOOKUP(B324,Students!$A$1:$C$101,3,FALSE)</f>
        <v>F</v>
      </c>
      <c r="H324" t="str">
        <f>VLOOKUP(C324,Courses!$A$1:$B$11,2,FALSE)</f>
        <v>Fluid Mechanics</v>
      </c>
      <c r="I324" t="str">
        <f>VLOOKUP(B324,Students!$A$1:$E$101,5,0)</f>
        <v>Civil</v>
      </c>
      <c r="J324">
        <f>VLOOKUP(C324,Courses!$A$1:$C$11,3,FALSE)</f>
        <v>4</v>
      </c>
    </row>
    <row r="325" spans="1:10">
      <c r="A325" t="s">
        <v>530</v>
      </c>
      <c r="B325" t="s">
        <v>30</v>
      </c>
      <c r="C325" t="s">
        <v>140</v>
      </c>
      <c r="D325">
        <v>8</v>
      </c>
      <c r="E325" t="s">
        <v>204</v>
      </c>
      <c r="F325" t="str">
        <f>VLOOKUP(B325,Students!$A$1:$C$101,2,FALSE)</f>
        <v>Raj Mehta</v>
      </c>
      <c r="G325" t="str">
        <f>VLOOKUP(B325,Students!$A$1:$C$101,3,FALSE)</f>
        <v>F</v>
      </c>
      <c r="H325" t="str">
        <f>VLOOKUP(C325,Courses!$A$1:$B$11,2,FALSE)</f>
        <v>Fluid Mechanics</v>
      </c>
      <c r="I325" t="str">
        <f>VLOOKUP(B325,Students!$A$1:$E$101,5,0)</f>
        <v>Civil</v>
      </c>
      <c r="J325">
        <f>VLOOKUP(C325,Courses!$A$1:$C$11,3,FALSE)</f>
        <v>4</v>
      </c>
    </row>
    <row r="326" spans="1:10">
      <c r="A326" t="s">
        <v>531</v>
      </c>
      <c r="B326" t="s">
        <v>65</v>
      </c>
      <c r="C326" t="s">
        <v>132</v>
      </c>
      <c r="D326">
        <v>6</v>
      </c>
      <c r="E326" t="s">
        <v>201</v>
      </c>
      <c r="F326" t="str">
        <f>VLOOKUP(B326,Students!$A$1:$C$101,2,FALSE)</f>
        <v>Ankit Sharma</v>
      </c>
      <c r="G326" t="str">
        <f>VLOOKUP(B326,Students!$A$1:$C$101,3,FALSE)</f>
        <v>M</v>
      </c>
      <c r="H326" t="str">
        <f>VLOOKUP(C326,Courses!$A$1:$B$11,2,FALSE)</f>
        <v>DBMS</v>
      </c>
      <c r="I326" t="str">
        <f>VLOOKUP(B326,Students!$A$1:$E$101,5,0)</f>
        <v>Computer Sci</v>
      </c>
      <c r="J326">
        <f>VLOOKUP(C326,Courses!$A$1:$C$11,3,FALSE)</f>
        <v>4</v>
      </c>
    </row>
    <row r="327" spans="1:10">
      <c r="A327" t="s">
        <v>532</v>
      </c>
      <c r="B327" t="s">
        <v>40</v>
      </c>
      <c r="C327" t="s">
        <v>130</v>
      </c>
      <c r="D327">
        <v>6</v>
      </c>
      <c r="E327" t="s">
        <v>207</v>
      </c>
      <c r="F327" t="str">
        <f>VLOOKUP(B327,Students!$A$1:$C$101,2,FALSE)</f>
        <v>Amit Kumar</v>
      </c>
      <c r="G327" t="str">
        <f>VLOOKUP(B327,Students!$A$1:$C$101,3,FALSE)</f>
        <v>M</v>
      </c>
      <c r="H327" t="str">
        <f>VLOOKUP(C327,Courses!$A$1:$B$11,2,FALSE)</f>
        <v>Data Structures</v>
      </c>
      <c r="I327" t="str">
        <f>VLOOKUP(B327,Students!$A$1:$E$101,5,0)</f>
        <v>Computer Sci</v>
      </c>
      <c r="J327">
        <f>VLOOKUP(C327,Courses!$A$1:$C$11,3,FALSE)</f>
        <v>3</v>
      </c>
    </row>
    <row r="328" spans="1:10">
      <c r="A328" t="s">
        <v>533</v>
      </c>
      <c r="B328" t="s">
        <v>116</v>
      </c>
      <c r="C328" t="s">
        <v>134</v>
      </c>
      <c r="D328">
        <v>4</v>
      </c>
      <c r="E328" t="s">
        <v>207</v>
      </c>
      <c r="F328" t="str">
        <f>VLOOKUP(B328,Students!$A$1:$C$101,2,FALSE)</f>
        <v>Amit Kumar</v>
      </c>
      <c r="G328" t="str">
        <f>VLOOKUP(B328,Students!$A$1:$C$101,3,FALSE)</f>
        <v>M</v>
      </c>
      <c r="H328" t="str">
        <f>VLOOKUP(C328,Courses!$A$1:$B$11,2,FALSE)</f>
        <v>Thermodynamics</v>
      </c>
      <c r="I328" t="str">
        <f>VLOOKUP(B328,Students!$A$1:$E$101,5,0)</f>
        <v>Mechanical</v>
      </c>
      <c r="J328">
        <f>VLOOKUP(C328,Courses!$A$1:$C$11,3,FALSE)</f>
        <v>3</v>
      </c>
    </row>
    <row r="329" spans="1:10">
      <c r="A329" t="s">
        <v>534</v>
      </c>
      <c r="B329" t="s">
        <v>105</v>
      </c>
      <c r="C329" t="s">
        <v>130</v>
      </c>
      <c r="D329">
        <v>10</v>
      </c>
      <c r="E329" t="s">
        <v>204</v>
      </c>
      <c r="F329" t="str">
        <f>VLOOKUP(B329,Students!$A$1:$C$101,2,FALSE)</f>
        <v>Raj Mehta</v>
      </c>
      <c r="G329" t="str">
        <f>VLOOKUP(B329,Students!$A$1:$C$101,3,FALSE)</f>
        <v>M</v>
      </c>
      <c r="H329" t="str">
        <f>VLOOKUP(C329,Courses!$A$1:$B$11,2,FALSE)</f>
        <v>Data Structures</v>
      </c>
      <c r="I329" t="str">
        <f>VLOOKUP(B329,Students!$A$1:$E$101,5,0)</f>
        <v>Management</v>
      </c>
      <c r="J329">
        <f>VLOOKUP(C329,Courses!$A$1:$C$11,3,FALSE)</f>
        <v>3</v>
      </c>
    </row>
    <row r="330" spans="1:10">
      <c r="A330" t="s">
        <v>535</v>
      </c>
      <c r="B330" t="s">
        <v>57</v>
      </c>
      <c r="C330" t="s">
        <v>136</v>
      </c>
      <c r="D330">
        <v>8</v>
      </c>
      <c r="E330" t="s">
        <v>207</v>
      </c>
      <c r="F330" t="str">
        <f>VLOOKUP(B330,Students!$A$1:$C$101,2,FALSE)</f>
        <v>Daniel Lee</v>
      </c>
      <c r="G330" t="str">
        <f>VLOOKUP(B330,Students!$A$1:$C$101,3,FALSE)</f>
        <v>F</v>
      </c>
      <c r="H330" t="str">
        <f>VLOOKUP(C330,Courses!$A$1:$B$11,2,FALSE)</f>
        <v>Circuits</v>
      </c>
      <c r="I330" t="str">
        <f>VLOOKUP(B330,Students!$A$1:$E$101,5,0)</f>
        <v>Computer Sci</v>
      </c>
      <c r="J330">
        <f>VLOOKUP(C330,Courses!$A$1:$C$11,3,FALSE)</f>
        <v>4</v>
      </c>
    </row>
    <row r="331" spans="1:10">
      <c r="A331" t="s">
        <v>536</v>
      </c>
      <c r="B331" t="s">
        <v>35</v>
      </c>
      <c r="C331" t="s">
        <v>138</v>
      </c>
      <c r="D331">
        <v>8</v>
      </c>
      <c r="E331" t="s">
        <v>210</v>
      </c>
      <c r="F331" t="str">
        <f>VLOOKUP(B331,Students!$A$1:$C$101,2,FALSE)</f>
        <v>Daniel Lee</v>
      </c>
      <c r="G331" t="str">
        <f>VLOOKUP(B331,Students!$A$1:$C$101,3,FALSE)</f>
        <v>F</v>
      </c>
      <c r="H331" t="str">
        <f>VLOOKUP(C331,Courses!$A$1:$B$11,2,FALSE)</f>
        <v>AI &amp; ML</v>
      </c>
      <c r="I331" t="str">
        <f>VLOOKUP(B331,Students!$A$1:$E$101,5,0)</f>
        <v>Mechanical</v>
      </c>
      <c r="J331">
        <f>VLOOKUP(C331,Courses!$A$1:$C$11,3,FALSE)</f>
        <v>3</v>
      </c>
    </row>
    <row r="332" spans="1:10">
      <c r="A332" t="s">
        <v>537</v>
      </c>
      <c r="B332" t="s">
        <v>36</v>
      </c>
      <c r="C332" t="s">
        <v>130</v>
      </c>
      <c r="D332">
        <v>8</v>
      </c>
      <c r="E332" t="s">
        <v>207</v>
      </c>
      <c r="F332" t="str">
        <f>VLOOKUP(B332,Students!$A$1:$C$101,2,FALSE)</f>
        <v>Sophia Wilson</v>
      </c>
      <c r="G332" t="str">
        <f>VLOOKUP(B332,Students!$A$1:$C$101,3,FALSE)</f>
        <v>M</v>
      </c>
      <c r="H332" t="str">
        <f>VLOOKUP(C332,Courses!$A$1:$B$11,2,FALSE)</f>
        <v>Data Structures</v>
      </c>
      <c r="I332" t="str">
        <f>VLOOKUP(B332,Students!$A$1:$E$101,5,0)</f>
        <v>Electronics</v>
      </c>
      <c r="J332">
        <f>VLOOKUP(C332,Courses!$A$1:$C$11,3,FALSE)</f>
        <v>3</v>
      </c>
    </row>
    <row r="333" spans="1:10">
      <c r="A333" t="s">
        <v>538</v>
      </c>
      <c r="B333" t="s">
        <v>108</v>
      </c>
      <c r="C333" t="s">
        <v>148</v>
      </c>
      <c r="D333">
        <v>4</v>
      </c>
      <c r="E333" t="s">
        <v>204</v>
      </c>
      <c r="F333" t="str">
        <f>VLOOKUP(B333,Students!$A$1:$C$101,2,FALSE)</f>
        <v>Robert Taylor</v>
      </c>
      <c r="G333" t="str">
        <f>VLOOKUP(B333,Students!$A$1:$C$101,3,FALSE)</f>
        <v>M</v>
      </c>
      <c r="H333" t="str">
        <f>VLOOKUP(C333,Courses!$A$1:$B$11,2,FALSE)</f>
        <v>Finance</v>
      </c>
      <c r="I333" t="str">
        <f>VLOOKUP(B333,Students!$A$1:$E$101,5,0)</f>
        <v>Management</v>
      </c>
      <c r="J333">
        <f>VLOOKUP(C333,Courses!$A$1:$C$11,3,FALSE)</f>
        <v>4</v>
      </c>
    </row>
    <row r="334" spans="1:10">
      <c r="A334" t="s">
        <v>539</v>
      </c>
      <c r="B334" t="s">
        <v>35</v>
      </c>
      <c r="C334" t="s">
        <v>144</v>
      </c>
      <c r="D334">
        <v>0</v>
      </c>
      <c r="E334" t="s">
        <v>204</v>
      </c>
      <c r="F334" t="str">
        <f>VLOOKUP(B334,Students!$A$1:$C$101,2,FALSE)</f>
        <v>Daniel Lee</v>
      </c>
      <c r="G334" t="str">
        <f>VLOOKUP(B334,Students!$A$1:$C$101,3,FALSE)</f>
        <v>F</v>
      </c>
      <c r="H334" t="str">
        <f>VLOOKUP(C334,Courses!$A$1:$B$11,2,FALSE)</f>
        <v>Structural Analysis</v>
      </c>
      <c r="I334" t="str">
        <f>VLOOKUP(B334,Students!$A$1:$E$101,5,0)</f>
        <v>Mechanical</v>
      </c>
      <c r="J334">
        <f>VLOOKUP(C334,Courses!$A$1:$C$11,3,FALSE)</f>
        <v>4</v>
      </c>
    </row>
    <row r="335" spans="1:10">
      <c r="A335" t="s">
        <v>540</v>
      </c>
      <c r="B335" t="s">
        <v>107</v>
      </c>
      <c r="C335" t="s">
        <v>146</v>
      </c>
      <c r="D335">
        <v>0</v>
      </c>
      <c r="E335" t="s">
        <v>201</v>
      </c>
      <c r="F335" t="str">
        <f>VLOOKUP(B335,Students!$A$1:$C$101,2,FALSE)</f>
        <v>James Clark</v>
      </c>
      <c r="G335" t="str">
        <f>VLOOKUP(B335,Students!$A$1:$C$101,3,FALSE)</f>
        <v>M</v>
      </c>
      <c r="H335" t="str">
        <f>VLOOKUP(C335,Courses!$A$1:$B$11,2,FALSE)</f>
        <v>Marketing</v>
      </c>
      <c r="I335" t="str">
        <f>VLOOKUP(B335,Students!$A$1:$E$101,5,0)</f>
        <v>Electronics</v>
      </c>
      <c r="J335">
        <f>VLOOKUP(C335,Courses!$A$1:$C$11,3,FALSE)</f>
        <v>3</v>
      </c>
    </row>
    <row r="336" spans="1:10">
      <c r="A336" t="s">
        <v>541</v>
      </c>
      <c r="B336" t="s">
        <v>118</v>
      </c>
      <c r="C336" t="s">
        <v>134</v>
      </c>
      <c r="D336">
        <v>6</v>
      </c>
      <c r="E336" t="s">
        <v>207</v>
      </c>
      <c r="F336" t="str">
        <f>VLOOKUP(B336,Students!$A$1:$C$101,2,FALSE)</f>
        <v>Ankit Sharma</v>
      </c>
      <c r="G336" t="str">
        <f>VLOOKUP(B336,Students!$A$1:$C$101,3,FALSE)</f>
        <v>M</v>
      </c>
      <c r="H336" t="str">
        <f>VLOOKUP(C336,Courses!$A$1:$B$11,2,FALSE)</f>
        <v>Thermodynamics</v>
      </c>
      <c r="I336" t="str">
        <f>VLOOKUP(B336,Students!$A$1:$E$101,5,0)</f>
        <v>Mechanical</v>
      </c>
      <c r="J336">
        <f>VLOOKUP(C336,Courses!$A$1:$C$11,3,FALSE)</f>
        <v>3</v>
      </c>
    </row>
    <row r="337" spans="1:10">
      <c r="A337" t="s">
        <v>542</v>
      </c>
      <c r="B337" t="s">
        <v>5</v>
      </c>
      <c r="C337" t="s">
        <v>148</v>
      </c>
      <c r="D337">
        <v>6</v>
      </c>
      <c r="E337" t="s">
        <v>201</v>
      </c>
      <c r="F337" t="str">
        <f>VLOOKUP(B337,Students!$A$1:$C$101,2,FALSE)</f>
        <v>Nisha Gupta</v>
      </c>
      <c r="G337" t="str">
        <f>VLOOKUP(B337,Students!$A$1:$C$101,3,FALSE)</f>
        <v>M</v>
      </c>
      <c r="H337" t="str">
        <f>VLOOKUP(C337,Courses!$A$1:$B$11,2,FALSE)</f>
        <v>Finance</v>
      </c>
      <c r="I337" t="str">
        <f>VLOOKUP(B337,Students!$A$1:$E$101,5,0)</f>
        <v>Electronics</v>
      </c>
      <c r="J337">
        <f>VLOOKUP(C337,Courses!$A$1:$C$11,3,FALSE)</f>
        <v>4</v>
      </c>
    </row>
    <row r="338" spans="1:10">
      <c r="A338" t="s">
        <v>543</v>
      </c>
      <c r="B338" t="s">
        <v>100</v>
      </c>
      <c r="C338" t="s">
        <v>142</v>
      </c>
      <c r="D338">
        <v>8</v>
      </c>
      <c r="E338" t="s">
        <v>204</v>
      </c>
      <c r="F338" t="str">
        <f>VLOOKUP(B338,Students!$A$1:$C$101,2,FALSE)</f>
        <v>Priya Verma</v>
      </c>
      <c r="G338" t="str">
        <f>VLOOKUP(B338,Students!$A$1:$C$101,3,FALSE)</f>
        <v>M</v>
      </c>
      <c r="H338" t="str">
        <f>VLOOKUP(C338,Courses!$A$1:$B$11,2,FALSE)</f>
        <v>Digital Logic</v>
      </c>
      <c r="I338" t="str">
        <f>VLOOKUP(B338,Students!$A$1:$E$101,5,0)</f>
        <v>Management</v>
      </c>
      <c r="J338">
        <f>VLOOKUP(C338,Courses!$A$1:$C$11,3,FALSE)</f>
        <v>3</v>
      </c>
    </row>
    <row r="339" spans="1:10">
      <c r="A339" t="s">
        <v>544</v>
      </c>
      <c r="B339" t="s">
        <v>94</v>
      </c>
      <c r="C339" t="s">
        <v>140</v>
      </c>
      <c r="D339">
        <v>10</v>
      </c>
      <c r="E339" t="s">
        <v>204</v>
      </c>
      <c r="F339" t="str">
        <f>VLOOKUP(B339,Students!$A$1:$C$101,2,FALSE)</f>
        <v>Robert Taylor</v>
      </c>
      <c r="G339" t="str">
        <f>VLOOKUP(B339,Students!$A$1:$C$101,3,FALSE)</f>
        <v>F</v>
      </c>
      <c r="H339" t="str">
        <f>VLOOKUP(C339,Courses!$A$1:$B$11,2,FALSE)</f>
        <v>Fluid Mechanics</v>
      </c>
      <c r="I339" t="str">
        <f>VLOOKUP(B339,Students!$A$1:$E$101,5,0)</f>
        <v>Mechanical</v>
      </c>
      <c r="J339">
        <f>VLOOKUP(C339,Courses!$A$1:$C$11,3,FALSE)</f>
        <v>4</v>
      </c>
    </row>
    <row r="340" spans="1:10">
      <c r="A340" t="s">
        <v>545</v>
      </c>
      <c r="B340" t="s">
        <v>76</v>
      </c>
      <c r="C340" t="s">
        <v>144</v>
      </c>
      <c r="D340">
        <v>10</v>
      </c>
      <c r="E340" t="s">
        <v>207</v>
      </c>
      <c r="F340" t="str">
        <f>VLOOKUP(B340,Students!$A$1:$C$101,2,FALSE)</f>
        <v>Emily Davis</v>
      </c>
      <c r="G340" t="str">
        <f>VLOOKUP(B340,Students!$A$1:$C$101,3,FALSE)</f>
        <v>M</v>
      </c>
      <c r="H340" t="str">
        <f>VLOOKUP(C340,Courses!$A$1:$B$11,2,FALSE)</f>
        <v>Structural Analysis</v>
      </c>
      <c r="I340" t="str">
        <f>VLOOKUP(B340,Students!$A$1:$E$101,5,0)</f>
        <v>Computer Sci</v>
      </c>
      <c r="J340">
        <f>VLOOKUP(C340,Courses!$A$1:$C$11,3,FALSE)</f>
        <v>4</v>
      </c>
    </row>
    <row r="341" spans="1:10">
      <c r="A341" t="s">
        <v>546</v>
      </c>
      <c r="B341" t="s">
        <v>73</v>
      </c>
      <c r="C341" t="s">
        <v>138</v>
      </c>
      <c r="D341">
        <v>10</v>
      </c>
      <c r="E341" t="s">
        <v>210</v>
      </c>
      <c r="F341" t="str">
        <f>VLOOKUP(B341,Students!$A$1:$C$101,2,FALSE)</f>
        <v>Michael Brown</v>
      </c>
      <c r="G341" t="str">
        <f>VLOOKUP(B341,Students!$A$1:$C$101,3,FALSE)</f>
        <v>M</v>
      </c>
      <c r="H341" t="str">
        <f>VLOOKUP(C341,Courses!$A$1:$B$11,2,FALSE)</f>
        <v>AI &amp; ML</v>
      </c>
      <c r="I341" t="str">
        <f>VLOOKUP(B341,Students!$A$1:$E$101,5,0)</f>
        <v>Mechanical</v>
      </c>
      <c r="J341">
        <f>VLOOKUP(C341,Courses!$A$1:$C$11,3,FALSE)</f>
        <v>3</v>
      </c>
    </row>
    <row r="342" spans="1:10">
      <c r="A342" t="s">
        <v>547</v>
      </c>
      <c r="B342" t="s">
        <v>27</v>
      </c>
      <c r="C342" t="s">
        <v>140</v>
      </c>
      <c r="D342">
        <v>8</v>
      </c>
      <c r="E342" t="s">
        <v>204</v>
      </c>
      <c r="F342" t="str">
        <f>VLOOKUP(B342,Students!$A$1:$C$101,2,FALSE)</f>
        <v>Daniel Lee</v>
      </c>
      <c r="G342" t="str">
        <f>VLOOKUP(B342,Students!$A$1:$C$101,3,FALSE)</f>
        <v>F</v>
      </c>
      <c r="H342" t="str">
        <f>VLOOKUP(C342,Courses!$A$1:$B$11,2,FALSE)</f>
        <v>Fluid Mechanics</v>
      </c>
      <c r="I342" t="str">
        <f>VLOOKUP(B342,Students!$A$1:$E$101,5,0)</f>
        <v>Computer Sci</v>
      </c>
      <c r="J342">
        <f>VLOOKUP(C342,Courses!$A$1:$C$11,3,FALSE)</f>
        <v>4</v>
      </c>
    </row>
    <row r="343" spans="1:10">
      <c r="A343" t="s">
        <v>548</v>
      </c>
      <c r="B343" t="s">
        <v>125</v>
      </c>
      <c r="C343" t="s">
        <v>148</v>
      </c>
      <c r="D343">
        <v>6</v>
      </c>
      <c r="E343" t="s">
        <v>201</v>
      </c>
      <c r="F343" t="str">
        <f>VLOOKUP(B343,Students!$A$1:$C$101,2,FALSE)</f>
        <v>Sophia Wilson</v>
      </c>
      <c r="G343" t="str">
        <f>VLOOKUP(B343,Students!$A$1:$C$101,3,FALSE)</f>
        <v>M</v>
      </c>
      <c r="H343" t="str">
        <f>VLOOKUP(C343,Courses!$A$1:$B$11,2,FALSE)</f>
        <v>Finance</v>
      </c>
      <c r="I343" t="str">
        <f>VLOOKUP(B343,Students!$A$1:$E$101,5,0)</f>
        <v>Civil</v>
      </c>
      <c r="J343">
        <f>VLOOKUP(C343,Courses!$A$1:$C$11,3,FALSE)</f>
        <v>4</v>
      </c>
    </row>
    <row r="344" spans="1:10">
      <c r="A344" t="s">
        <v>549</v>
      </c>
      <c r="B344" t="s">
        <v>19</v>
      </c>
      <c r="C344" t="s">
        <v>140</v>
      </c>
      <c r="D344">
        <v>0</v>
      </c>
      <c r="E344" t="s">
        <v>210</v>
      </c>
      <c r="F344" t="str">
        <f>VLOOKUP(B344,Students!$A$1:$C$101,2,FALSE)</f>
        <v>Sara Khan</v>
      </c>
      <c r="G344" t="str">
        <f>VLOOKUP(B344,Students!$A$1:$C$101,3,FALSE)</f>
        <v>M</v>
      </c>
      <c r="H344" t="str">
        <f>VLOOKUP(C344,Courses!$A$1:$B$11,2,FALSE)</f>
        <v>Fluid Mechanics</v>
      </c>
      <c r="I344" t="str">
        <f>VLOOKUP(B344,Students!$A$1:$E$101,5,0)</f>
        <v>Management</v>
      </c>
      <c r="J344">
        <f>VLOOKUP(C344,Courses!$A$1:$C$11,3,FALSE)</f>
        <v>4</v>
      </c>
    </row>
    <row r="345" spans="1:10">
      <c r="A345" t="s">
        <v>550</v>
      </c>
      <c r="B345" t="s">
        <v>109</v>
      </c>
      <c r="C345" t="s">
        <v>134</v>
      </c>
      <c r="D345">
        <v>4</v>
      </c>
      <c r="E345" t="s">
        <v>207</v>
      </c>
      <c r="F345" t="str">
        <f>VLOOKUP(B345,Students!$A$1:$C$101,2,FALSE)</f>
        <v>Chris Evans</v>
      </c>
      <c r="G345" t="str">
        <f>VLOOKUP(B345,Students!$A$1:$C$101,3,FALSE)</f>
        <v>F</v>
      </c>
      <c r="H345" t="str">
        <f>VLOOKUP(C345,Courses!$A$1:$B$11,2,FALSE)</f>
        <v>Thermodynamics</v>
      </c>
      <c r="I345" t="str">
        <f>VLOOKUP(B345,Students!$A$1:$E$101,5,0)</f>
        <v>Management</v>
      </c>
      <c r="J345">
        <f>VLOOKUP(C345,Courses!$A$1:$C$11,3,FALSE)</f>
        <v>3</v>
      </c>
    </row>
    <row r="346" spans="1:10">
      <c r="A346" t="s">
        <v>551</v>
      </c>
      <c r="B346" t="s">
        <v>107</v>
      </c>
      <c r="C346" t="s">
        <v>134</v>
      </c>
      <c r="D346">
        <v>8</v>
      </c>
      <c r="E346" t="s">
        <v>204</v>
      </c>
      <c r="F346" t="str">
        <f>VLOOKUP(B346,Students!$A$1:$C$101,2,FALSE)</f>
        <v>James Clark</v>
      </c>
      <c r="G346" t="str">
        <f>VLOOKUP(B346,Students!$A$1:$C$101,3,FALSE)</f>
        <v>M</v>
      </c>
      <c r="H346" t="str">
        <f>VLOOKUP(C346,Courses!$A$1:$B$11,2,FALSE)</f>
        <v>Thermodynamics</v>
      </c>
      <c r="I346" t="str">
        <f>VLOOKUP(B346,Students!$A$1:$E$101,5,0)</f>
        <v>Electronics</v>
      </c>
      <c r="J346">
        <f>VLOOKUP(C346,Courses!$A$1:$C$11,3,FALSE)</f>
        <v>3</v>
      </c>
    </row>
    <row r="347" spans="1:10">
      <c r="A347" t="s">
        <v>552</v>
      </c>
      <c r="B347" t="s">
        <v>118</v>
      </c>
      <c r="C347" t="s">
        <v>144</v>
      </c>
      <c r="D347">
        <v>10</v>
      </c>
      <c r="E347" t="s">
        <v>210</v>
      </c>
      <c r="F347" t="str">
        <f>VLOOKUP(B347,Students!$A$1:$C$101,2,FALSE)</f>
        <v>Ankit Sharma</v>
      </c>
      <c r="G347" t="str">
        <f>VLOOKUP(B347,Students!$A$1:$C$101,3,FALSE)</f>
        <v>M</v>
      </c>
      <c r="H347" t="str">
        <f>VLOOKUP(C347,Courses!$A$1:$B$11,2,FALSE)</f>
        <v>Structural Analysis</v>
      </c>
      <c r="I347" t="str">
        <f>VLOOKUP(B347,Students!$A$1:$E$101,5,0)</f>
        <v>Mechanical</v>
      </c>
      <c r="J347">
        <f>VLOOKUP(C347,Courses!$A$1:$C$11,3,FALSE)</f>
        <v>4</v>
      </c>
    </row>
    <row r="348" spans="1:10">
      <c r="A348" t="s">
        <v>553</v>
      </c>
      <c r="B348" t="s">
        <v>49</v>
      </c>
      <c r="C348" t="s">
        <v>130</v>
      </c>
      <c r="D348">
        <v>8</v>
      </c>
      <c r="E348" t="s">
        <v>204</v>
      </c>
      <c r="F348" t="str">
        <f>VLOOKUP(B348,Students!$A$1:$C$101,2,FALSE)</f>
        <v>John Smith</v>
      </c>
      <c r="G348" t="str">
        <f>VLOOKUP(B348,Students!$A$1:$C$101,3,FALSE)</f>
        <v>M</v>
      </c>
      <c r="H348" t="str">
        <f>VLOOKUP(C348,Courses!$A$1:$B$11,2,FALSE)</f>
        <v>Data Structures</v>
      </c>
      <c r="I348" t="str">
        <f>VLOOKUP(B348,Students!$A$1:$E$101,5,0)</f>
        <v>Management</v>
      </c>
      <c r="J348">
        <f>VLOOKUP(C348,Courses!$A$1:$C$11,3,FALSE)</f>
        <v>3</v>
      </c>
    </row>
    <row r="349" spans="1:10">
      <c r="A349" t="s">
        <v>554</v>
      </c>
      <c r="B349" t="s">
        <v>65</v>
      </c>
      <c r="C349" t="s">
        <v>138</v>
      </c>
      <c r="D349">
        <v>0</v>
      </c>
      <c r="E349" t="s">
        <v>207</v>
      </c>
      <c r="F349" t="str">
        <f>VLOOKUP(B349,Students!$A$1:$C$101,2,FALSE)</f>
        <v>Ankit Sharma</v>
      </c>
      <c r="G349" t="str">
        <f>VLOOKUP(B349,Students!$A$1:$C$101,3,FALSE)</f>
        <v>M</v>
      </c>
      <c r="H349" t="str">
        <f>VLOOKUP(C349,Courses!$A$1:$B$11,2,FALSE)</f>
        <v>AI &amp; ML</v>
      </c>
      <c r="I349" t="str">
        <f>VLOOKUP(B349,Students!$A$1:$E$101,5,0)</f>
        <v>Computer Sci</v>
      </c>
      <c r="J349">
        <f>VLOOKUP(C349,Courses!$A$1:$C$11,3,FALSE)</f>
        <v>3</v>
      </c>
    </row>
    <row r="350" spans="1:10">
      <c r="A350" t="s">
        <v>555</v>
      </c>
      <c r="B350" t="s">
        <v>96</v>
      </c>
      <c r="C350" t="s">
        <v>144</v>
      </c>
      <c r="D350">
        <v>6</v>
      </c>
      <c r="E350" t="s">
        <v>204</v>
      </c>
      <c r="F350" t="str">
        <f>VLOOKUP(B350,Students!$A$1:$C$101,2,FALSE)</f>
        <v>Raj Mehta</v>
      </c>
      <c r="G350" t="str">
        <f>VLOOKUP(B350,Students!$A$1:$C$101,3,FALSE)</f>
        <v>M</v>
      </c>
      <c r="H350" t="str">
        <f>VLOOKUP(C350,Courses!$A$1:$B$11,2,FALSE)</f>
        <v>Structural Analysis</v>
      </c>
      <c r="I350" t="str">
        <f>VLOOKUP(B350,Students!$A$1:$E$101,5,0)</f>
        <v>Computer Sci</v>
      </c>
      <c r="J350">
        <f>VLOOKUP(C350,Courses!$A$1:$C$11,3,FALSE)</f>
        <v>4</v>
      </c>
    </row>
    <row r="351" spans="1:10">
      <c r="A351" t="s">
        <v>556</v>
      </c>
      <c r="B351" t="s">
        <v>123</v>
      </c>
      <c r="C351" t="s">
        <v>136</v>
      </c>
      <c r="D351">
        <v>6</v>
      </c>
      <c r="E351" t="s">
        <v>210</v>
      </c>
      <c r="F351" t="str">
        <f>VLOOKUP(B351,Students!$A$1:$C$101,2,FALSE)</f>
        <v>Nisha Gupta</v>
      </c>
      <c r="G351" t="str">
        <f>VLOOKUP(B351,Students!$A$1:$C$101,3,FALSE)</f>
        <v>M</v>
      </c>
      <c r="H351" t="str">
        <f>VLOOKUP(C351,Courses!$A$1:$B$11,2,FALSE)</f>
        <v>Circuits</v>
      </c>
      <c r="I351" t="str">
        <f>VLOOKUP(B351,Students!$A$1:$E$101,5,0)</f>
        <v>Management</v>
      </c>
      <c r="J351">
        <f>VLOOKUP(C351,Courses!$A$1:$C$11,3,FALSE)</f>
        <v>4</v>
      </c>
    </row>
    <row r="352" spans="1:10">
      <c r="A352" t="s">
        <v>557</v>
      </c>
      <c r="B352" t="s">
        <v>126</v>
      </c>
      <c r="C352" t="s">
        <v>130</v>
      </c>
      <c r="D352">
        <v>6</v>
      </c>
      <c r="E352" t="s">
        <v>210</v>
      </c>
      <c r="F352" t="str">
        <f>VLOOKUP(B352,Students!$A$1:$C$101,2,FALSE)</f>
        <v>Ankit Sharma</v>
      </c>
      <c r="G352" t="str">
        <f>VLOOKUP(B352,Students!$A$1:$C$101,3,FALSE)</f>
        <v>M</v>
      </c>
      <c r="H352" t="str">
        <f>VLOOKUP(C352,Courses!$A$1:$B$11,2,FALSE)</f>
        <v>Data Structures</v>
      </c>
      <c r="I352" t="str">
        <f>VLOOKUP(B352,Students!$A$1:$E$101,5,0)</f>
        <v>Civil</v>
      </c>
      <c r="J352">
        <f>VLOOKUP(C352,Courses!$A$1:$C$11,3,FALSE)</f>
        <v>3</v>
      </c>
    </row>
    <row r="353" spans="1:10">
      <c r="A353" t="s">
        <v>558</v>
      </c>
      <c r="B353" t="s">
        <v>36</v>
      </c>
      <c r="C353" t="s">
        <v>140</v>
      </c>
      <c r="D353">
        <v>4</v>
      </c>
      <c r="E353" t="s">
        <v>207</v>
      </c>
      <c r="F353" t="str">
        <f>VLOOKUP(B353,Students!$A$1:$C$101,2,FALSE)</f>
        <v>Sophia Wilson</v>
      </c>
      <c r="G353" t="str">
        <f>VLOOKUP(B353,Students!$A$1:$C$101,3,FALSE)</f>
        <v>M</v>
      </c>
      <c r="H353" t="str">
        <f>VLOOKUP(C353,Courses!$A$1:$B$11,2,FALSE)</f>
        <v>Fluid Mechanics</v>
      </c>
      <c r="I353" t="str">
        <f>VLOOKUP(B353,Students!$A$1:$E$101,5,0)</f>
        <v>Electronics</v>
      </c>
      <c r="J353">
        <f>VLOOKUP(C353,Courses!$A$1:$C$11,3,FALSE)</f>
        <v>4</v>
      </c>
    </row>
    <row r="354" spans="1:10">
      <c r="A354" t="s">
        <v>559</v>
      </c>
      <c r="B354" t="s">
        <v>122</v>
      </c>
      <c r="C354" t="s">
        <v>144</v>
      </c>
      <c r="D354">
        <v>4</v>
      </c>
      <c r="E354" t="s">
        <v>210</v>
      </c>
      <c r="F354" t="str">
        <f>VLOOKUP(B354,Students!$A$1:$C$101,2,FALSE)</f>
        <v>James Clark</v>
      </c>
      <c r="G354" t="str">
        <f>VLOOKUP(B354,Students!$A$1:$C$101,3,FALSE)</f>
        <v>F</v>
      </c>
      <c r="H354" t="str">
        <f>VLOOKUP(C354,Courses!$A$1:$B$11,2,FALSE)</f>
        <v>Structural Analysis</v>
      </c>
      <c r="I354" t="str">
        <f>VLOOKUP(B354,Students!$A$1:$E$101,5,0)</f>
        <v>Mechanical</v>
      </c>
      <c r="J354">
        <f>VLOOKUP(C354,Courses!$A$1:$C$11,3,FALSE)</f>
        <v>4</v>
      </c>
    </row>
    <row r="355" spans="1:10">
      <c r="A355" t="s">
        <v>560</v>
      </c>
      <c r="B355" t="s">
        <v>46</v>
      </c>
      <c r="C355" t="s">
        <v>144</v>
      </c>
      <c r="D355">
        <v>4</v>
      </c>
      <c r="E355" t="s">
        <v>210</v>
      </c>
      <c r="F355" t="str">
        <f>VLOOKUP(B355,Students!$A$1:$C$101,2,FALSE)</f>
        <v>James Clark</v>
      </c>
      <c r="G355" t="str">
        <f>VLOOKUP(B355,Students!$A$1:$C$101,3,FALSE)</f>
        <v>F</v>
      </c>
      <c r="H355" t="str">
        <f>VLOOKUP(C355,Courses!$A$1:$B$11,2,FALSE)</f>
        <v>Structural Analysis</v>
      </c>
      <c r="I355" t="str">
        <f>VLOOKUP(B355,Students!$A$1:$E$101,5,0)</f>
        <v>Civil</v>
      </c>
      <c r="J355">
        <f>VLOOKUP(C355,Courses!$A$1:$C$11,3,FALSE)</f>
        <v>4</v>
      </c>
    </row>
    <row r="356" spans="1:10">
      <c r="A356" t="s">
        <v>561</v>
      </c>
      <c r="B356" t="s">
        <v>93</v>
      </c>
      <c r="C356" t="s">
        <v>138</v>
      </c>
      <c r="D356">
        <v>10</v>
      </c>
      <c r="E356" t="s">
        <v>207</v>
      </c>
      <c r="F356" t="str">
        <f>VLOOKUP(B356,Students!$A$1:$C$101,2,FALSE)</f>
        <v>Ankit Sharma</v>
      </c>
      <c r="G356" t="str">
        <f>VLOOKUP(B356,Students!$A$1:$C$101,3,FALSE)</f>
        <v>F</v>
      </c>
      <c r="H356" t="str">
        <f>VLOOKUP(C356,Courses!$A$1:$B$11,2,FALSE)</f>
        <v>AI &amp; ML</v>
      </c>
      <c r="I356" t="str">
        <f>VLOOKUP(B356,Students!$A$1:$E$101,5,0)</f>
        <v>Civil</v>
      </c>
      <c r="J356">
        <f>VLOOKUP(C356,Courses!$A$1:$C$11,3,FALSE)</f>
        <v>3</v>
      </c>
    </row>
    <row r="357" spans="1:10">
      <c r="A357" t="s">
        <v>562</v>
      </c>
      <c r="B357" t="s">
        <v>30</v>
      </c>
      <c r="C357" t="s">
        <v>142</v>
      </c>
      <c r="D357">
        <v>0</v>
      </c>
      <c r="E357" t="s">
        <v>201</v>
      </c>
      <c r="F357" t="str">
        <f>VLOOKUP(B357,Students!$A$1:$C$101,2,FALSE)</f>
        <v>Raj Mehta</v>
      </c>
      <c r="G357" t="str">
        <f>VLOOKUP(B357,Students!$A$1:$C$101,3,FALSE)</f>
        <v>F</v>
      </c>
      <c r="H357" t="str">
        <f>VLOOKUP(C357,Courses!$A$1:$B$11,2,FALSE)</f>
        <v>Digital Logic</v>
      </c>
      <c r="I357" t="str">
        <f>VLOOKUP(B357,Students!$A$1:$E$101,5,0)</f>
        <v>Civil</v>
      </c>
      <c r="J357">
        <f>VLOOKUP(C357,Courses!$A$1:$C$11,3,FALSE)</f>
        <v>3</v>
      </c>
    </row>
    <row r="358" spans="1:10">
      <c r="A358" t="s">
        <v>563</v>
      </c>
      <c r="B358" t="s">
        <v>96</v>
      </c>
      <c r="C358" t="s">
        <v>138</v>
      </c>
      <c r="D358">
        <v>6</v>
      </c>
      <c r="E358" t="s">
        <v>204</v>
      </c>
      <c r="F358" t="str">
        <f>VLOOKUP(B358,Students!$A$1:$C$101,2,FALSE)</f>
        <v>Raj Mehta</v>
      </c>
      <c r="G358" t="str">
        <f>VLOOKUP(B358,Students!$A$1:$C$101,3,FALSE)</f>
        <v>M</v>
      </c>
      <c r="H358" t="str">
        <f>VLOOKUP(C358,Courses!$A$1:$B$11,2,FALSE)</f>
        <v>AI &amp; ML</v>
      </c>
      <c r="I358" t="str">
        <f>VLOOKUP(B358,Students!$A$1:$E$101,5,0)</f>
        <v>Computer Sci</v>
      </c>
      <c r="J358">
        <f>VLOOKUP(C358,Courses!$A$1:$C$11,3,FALSE)</f>
        <v>3</v>
      </c>
    </row>
    <row r="359" spans="1:10">
      <c r="A359" t="s">
        <v>564</v>
      </c>
      <c r="B359" t="s">
        <v>30</v>
      </c>
      <c r="C359" t="s">
        <v>140</v>
      </c>
      <c r="D359">
        <v>6</v>
      </c>
      <c r="E359" t="s">
        <v>210</v>
      </c>
      <c r="F359" t="str">
        <f>VLOOKUP(B359,Students!$A$1:$C$101,2,FALSE)</f>
        <v>Raj Mehta</v>
      </c>
      <c r="G359" t="str">
        <f>VLOOKUP(B359,Students!$A$1:$C$101,3,FALSE)</f>
        <v>F</v>
      </c>
      <c r="H359" t="str">
        <f>VLOOKUP(C359,Courses!$A$1:$B$11,2,FALSE)</f>
        <v>Fluid Mechanics</v>
      </c>
      <c r="I359" t="str">
        <f>VLOOKUP(B359,Students!$A$1:$E$101,5,0)</f>
        <v>Civil</v>
      </c>
      <c r="J359">
        <f>VLOOKUP(C359,Courses!$A$1:$C$11,3,FALSE)</f>
        <v>4</v>
      </c>
    </row>
    <row r="360" spans="1:10">
      <c r="A360" t="s">
        <v>565</v>
      </c>
      <c r="B360" t="s">
        <v>84</v>
      </c>
      <c r="C360" t="s">
        <v>148</v>
      </c>
      <c r="D360">
        <v>4</v>
      </c>
      <c r="E360" t="s">
        <v>201</v>
      </c>
      <c r="F360" t="str">
        <f>VLOOKUP(B360,Students!$A$1:$C$101,2,FALSE)</f>
        <v>Nisha Gupta</v>
      </c>
      <c r="G360" t="str">
        <f>VLOOKUP(B360,Students!$A$1:$C$101,3,FALSE)</f>
        <v>M</v>
      </c>
      <c r="H360" t="str">
        <f>VLOOKUP(C360,Courses!$A$1:$B$11,2,FALSE)</f>
        <v>Finance</v>
      </c>
      <c r="I360" t="str">
        <f>VLOOKUP(B360,Students!$A$1:$E$101,5,0)</f>
        <v>Civil</v>
      </c>
      <c r="J360">
        <f>VLOOKUP(C360,Courses!$A$1:$C$11,3,FALSE)</f>
        <v>4</v>
      </c>
    </row>
    <row r="361" spans="1:10">
      <c r="A361" t="s">
        <v>566</v>
      </c>
      <c r="B361" t="s">
        <v>115</v>
      </c>
      <c r="C361" t="s">
        <v>144</v>
      </c>
      <c r="D361">
        <v>6</v>
      </c>
      <c r="E361" t="s">
        <v>207</v>
      </c>
      <c r="F361" t="str">
        <f>VLOOKUP(B361,Students!$A$1:$C$101,2,FALSE)</f>
        <v>Sophia Wilson</v>
      </c>
      <c r="G361" t="str">
        <f>VLOOKUP(B361,Students!$A$1:$C$101,3,FALSE)</f>
        <v>F</v>
      </c>
      <c r="H361" t="str">
        <f>VLOOKUP(C361,Courses!$A$1:$B$11,2,FALSE)</f>
        <v>Structural Analysis</v>
      </c>
      <c r="I361" t="str">
        <f>VLOOKUP(B361,Students!$A$1:$E$101,5,0)</f>
        <v>Computer Sci</v>
      </c>
      <c r="J361">
        <f>VLOOKUP(C361,Courses!$A$1:$C$11,3,FALSE)</f>
        <v>4</v>
      </c>
    </row>
    <row r="362" spans="1:10">
      <c r="A362" t="s">
        <v>567</v>
      </c>
      <c r="B362" t="s">
        <v>19</v>
      </c>
      <c r="C362" t="s">
        <v>140</v>
      </c>
      <c r="D362">
        <v>0</v>
      </c>
      <c r="E362" t="s">
        <v>207</v>
      </c>
      <c r="F362" t="str">
        <f>VLOOKUP(B362,Students!$A$1:$C$101,2,FALSE)</f>
        <v>Sara Khan</v>
      </c>
      <c r="G362" t="str">
        <f>VLOOKUP(B362,Students!$A$1:$C$101,3,FALSE)</f>
        <v>M</v>
      </c>
      <c r="H362" t="str">
        <f>VLOOKUP(C362,Courses!$A$1:$B$11,2,FALSE)</f>
        <v>Fluid Mechanics</v>
      </c>
      <c r="I362" t="str">
        <f>VLOOKUP(B362,Students!$A$1:$E$101,5,0)</f>
        <v>Management</v>
      </c>
      <c r="J362">
        <f>VLOOKUP(C362,Courses!$A$1:$C$11,3,FALSE)</f>
        <v>4</v>
      </c>
    </row>
    <row r="363" spans="1:10">
      <c r="A363" t="s">
        <v>568</v>
      </c>
      <c r="B363" t="s">
        <v>60</v>
      </c>
      <c r="C363" t="s">
        <v>130</v>
      </c>
      <c r="D363">
        <v>10</v>
      </c>
      <c r="E363" t="s">
        <v>207</v>
      </c>
      <c r="F363" t="str">
        <f>VLOOKUP(B363,Students!$A$1:$C$101,2,FALSE)</f>
        <v>James Clark</v>
      </c>
      <c r="G363" t="str">
        <f>VLOOKUP(B363,Students!$A$1:$C$101,3,FALSE)</f>
        <v>M</v>
      </c>
      <c r="H363" t="str">
        <f>VLOOKUP(C363,Courses!$A$1:$B$11,2,FALSE)</f>
        <v>Data Structures</v>
      </c>
      <c r="I363" t="str">
        <f>VLOOKUP(B363,Students!$A$1:$E$101,5,0)</f>
        <v>Management</v>
      </c>
      <c r="J363">
        <f>VLOOKUP(C363,Courses!$A$1:$C$11,3,FALSE)</f>
        <v>3</v>
      </c>
    </row>
    <row r="364" spans="1:10">
      <c r="A364" t="s">
        <v>569</v>
      </c>
      <c r="B364" t="s">
        <v>72</v>
      </c>
      <c r="C364" t="s">
        <v>146</v>
      </c>
      <c r="D364">
        <v>8</v>
      </c>
      <c r="E364" t="s">
        <v>204</v>
      </c>
      <c r="F364" t="str">
        <f>VLOOKUP(B364,Students!$A$1:$C$101,2,FALSE)</f>
        <v>Nisha Gupta</v>
      </c>
      <c r="G364" t="str">
        <f>VLOOKUP(B364,Students!$A$1:$C$101,3,FALSE)</f>
        <v>F</v>
      </c>
      <c r="H364" t="str">
        <f>VLOOKUP(C364,Courses!$A$1:$B$11,2,FALSE)</f>
        <v>Marketing</v>
      </c>
      <c r="I364" t="str">
        <f>VLOOKUP(B364,Students!$A$1:$E$101,5,0)</f>
        <v>Management</v>
      </c>
      <c r="J364">
        <f>VLOOKUP(C364,Courses!$A$1:$C$11,3,FALSE)</f>
        <v>3</v>
      </c>
    </row>
    <row r="365" spans="1:10">
      <c r="A365" t="s">
        <v>570</v>
      </c>
      <c r="B365" t="s">
        <v>41</v>
      </c>
      <c r="C365" t="s">
        <v>148</v>
      </c>
      <c r="D365">
        <v>4</v>
      </c>
      <c r="E365" t="s">
        <v>204</v>
      </c>
      <c r="F365" t="str">
        <f>VLOOKUP(B365,Students!$A$1:$C$101,2,FALSE)</f>
        <v>Raj Mehta</v>
      </c>
      <c r="G365" t="str">
        <f>VLOOKUP(B365,Students!$A$1:$C$101,3,FALSE)</f>
        <v>M</v>
      </c>
      <c r="H365" t="str">
        <f>VLOOKUP(C365,Courses!$A$1:$B$11,2,FALSE)</f>
        <v>Finance</v>
      </c>
      <c r="I365" t="str">
        <f>VLOOKUP(B365,Students!$A$1:$E$101,5,0)</f>
        <v>Mechanical</v>
      </c>
      <c r="J365">
        <f>VLOOKUP(C365,Courses!$A$1:$C$11,3,FALSE)</f>
        <v>4</v>
      </c>
    </row>
    <row r="366" spans="1:10">
      <c r="A366" t="s">
        <v>571</v>
      </c>
      <c r="B366" t="s">
        <v>38</v>
      </c>
      <c r="C366" t="s">
        <v>132</v>
      </c>
      <c r="D366">
        <v>8</v>
      </c>
      <c r="E366" t="s">
        <v>210</v>
      </c>
      <c r="F366" t="str">
        <f>VLOOKUP(B366,Students!$A$1:$C$101,2,FALSE)</f>
        <v>Michael Brown</v>
      </c>
      <c r="G366" t="str">
        <f>VLOOKUP(B366,Students!$A$1:$C$101,3,FALSE)</f>
        <v>F</v>
      </c>
      <c r="H366" t="str">
        <f>VLOOKUP(C366,Courses!$A$1:$B$11,2,FALSE)</f>
        <v>DBMS</v>
      </c>
      <c r="I366" t="str">
        <f>VLOOKUP(B366,Students!$A$1:$E$101,5,0)</f>
        <v>Electronics</v>
      </c>
      <c r="J366">
        <f>VLOOKUP(C366,Courses!$A$1:$C$11,3,FALSE)</f>
        <v>4</v>
      </c>
    </row>
    <row r="367" spans="1:10">
      <c r="A367" t="s">
        <v>572</v>
      </c>
      <c r="B367" t="s">
        <v>72</v>
      </c>
      <c r="C367" t="s">
        <v>142</v>
      </c>
      <c r="D367">
        <v>0</v>
      </c>
      <c r="E367" t="s">
        <v>204</v>
      </c>
      <c r="F367" t="str">
        <f>VLOOKUP(B367,Students!$A$1:$C$101,2,FALSE)</f>
        <v>Nisha Gupta</v>
      </c>
      <c r="G367" t="str">
        <f>VLOOKUP(B367,Students!$A$1:$C$101,3,FALSE)</f>
        <v>F</v>
      </c>
      <c r="H367" t="str">
        <f>VLOOKUP(C367,Courses!$A$1:$B$11,2,FALSE)</f>
        <v>Digital Logic</v>
      </c>
      <c r="I367" t="str">
        <f>VLOOKUP(B367,Students!$A$1:$E$101,5,0)</f>
        <v>Management</v>
      </c>
      <c r="J367">
        <f>VLOOKUP(C367,Courses!$A$1:$C$11,3,FALSE)</f>
        <v>3</v>
      </c>
    </row>
    <row r="368" spans="1:10">
      <c r="A368" t="s">
        <v>573</v>
      </c>
      <c r="B368" t="s">
        <v>104</v>
      </c>
      <c r="C368" t="s">
        <v>134</v>
      </c>
      <c r="D368">
        <v>4</v>
      </c>
      <c r="E368" t="s">
        <v>210</v>
      </c>
      <c r="F368" t="str">
        <f>VLOOKUP(B368,Students!$A$1:$C$101,2,FALSE)</f>
        <v>Amit Kumar</v>
      </c>
      <c r="G368" t="str">
        <f>VLOOKUP(B368,Students!$A$1:$C$101,3,FALSE)</f>
        <v>M</v>
      </c>
      <c r="H368" t="str">
        <f>VLOOKUP(C368,Courses!$A$1:$B$11,2,FALSE)</f>
        <v>Thermodynamics</v>
      </c>
      <c r="I368" t="str">
        <f>VLOOKUP(B368,Students!$A$1:$E$101,5,0)</f>
        <v>Civil</v>
      </c>
      <c r="J368">
        <f>VLOOKUP(C368,Courses!$A$1:$C$11,3,FALSE)</f>
        <v>3</v>
      </c>
    </row>
    <row r="369" spans="1:10">
      <c r="A369" t="s">
        <v>574</v>
      </c>
      <c r="B369" t="s">
        <v>73</v>
      </c>
      <c r="C369" t="s">
        <v>144</v>
      </c>
      <c r="D369">
        <v>10</v>
      </c>
      <c r="E369" t="s">
        <v>201</v>
      </c>
      <c r="F369" t="str">
        <f>VLOOKUP(B369,Students!$A$1:$C$101,2,FALSE)</f>
        <v>Michael Brown</v>
      </c>
      <c r="G369" t="str">
        <f>VLOOKUP(B369,Students!$A$1:$C$101,3,FALSE)</f>
        <v>M</v>
      </c>
      <c r="H369" t="str">
        <f>VLOOKUP(C369,Courses!$A$1:$B$11,2,FALSE)</f>
        <v>Structural Analysis</v>
      </c>
      <c r="I369" t="str">
        <f>VLOOKUP(B369,Students!$A$1:$E$101,5,0)</f>
        <v>Mechanical</v>
      </c>
      <c r="J369">
        <f>VLOOKUP(C369,Courses!$A$1:$C$11,3,FALSE)</f>
        <v>4</v>
      </c>
    </row>
    <row r="370" spans="1:10">
      <c r="A370" t="s">
        <v>575</v>
      </c>
      <c r="B370" t="s">
        <v>94</v>
      </c>
      <c r="C370" t="s">
        <v>140</v>
      </c>
      <c r="D370">
        <v>4</v>
      </c>
      <c r="E370" t="s">
        <v>210</v>
      </c>
      <c r="F370" t="str">
        <f>VLOOKUP(B370,Students!$A$1:$C$101,2,FALSE)</f>
        <v>Robert Taylor</v>
      </c>
      <c r="G370" t="str">
        <f>VLOOKUP(B370,Students!$A$1:$C$101,3,FALSE)</f>
        <v>F</v>
      </c>
      <c r="H370" t="str">
        <f>VLOOKUP(C370,Courses!$A$1:$B$11,2,FALSE)</f>
        <v>Fluid Mechanics</v>
      </c>
      <c r="I370" t="str">
        <f>VLOOKUP(B370,Students!$A$1:$E$101,5,0)</f>
        <v>Mechanical</v>
      </c>
      <c r="J370">
        <f>VLOOKUP(C370,Courses!$A$1:$C$11,3,FALSE)</f>
        <v>4</v>
      </c>
    </row>
    <row r="371" spans="1:10">
      <c r="A371" t="s">
        <v>576</v>
      </c>
      <c r="B371" t="s">
        <v>110</v>
      </c>
      <c r="C371" t="s">
        <v>138</v>
      </c>
      <c r="D371">
        <v>8</v>
      </c>
      <c r="E371" t="s">
        <v>204</v>
      </c>
      <c r="F371" t="str">
        <f>VLOOKUP(B371,Students!$A$1:$C$101,2,FALSE)</f>
        <v>Robert Taylor</v>
      </c>
      <c r="G371" t="str">
        <f>VLOOKUP(B371,Students!$A$1:$C$101,3,FALSE)</f>
        <v>M</v>
      </c>
      <c r="H371" t="str">
        <f>VLOOKUP(C371,Courses!$A$1:$B$11,2,FALSE)</f>
        <v>AI &amp; ML</v>
      </c>
      <c r="I371" t="str">
        <f>VLOOKUP(B371,Students!$A$1:$E$101,5,0)</f>
        <v>Electronics</v>
      </c>
      <c r="J371">
        <f>VLOOKUP(C371,Courses!$A$1:$C$11,3,FALSE)</f>
        <v>3</v>
      </c>
    </row>
    <row r="372" spans="1:10">
      <c r="A372" t="s">
        <v>577</v>
      </c>
      <c r="B372" t="s">
        <v>13</v>
      </c>
      <c r="C372" t="s">
        <v>134</v>
      </c>
      <c r="D372">
        <v>4</v>
      </c>
      <c r="E372" t="s">
        <v>207</v>
      </c>
      <c r="F372" t="str">
        <f>VLOOKUP(B372,Students!$A$1:$C$101,2,FALSE)</f>
        <v>Ankit Sharma</v>
      </c>
      <c r="G372" t="str">
        <f>VLOOKUP(B372,Students!$A$1:$C$101,3,FALSE)</f>
        <v>M</v>
      </c>
      <c r="H372" t="str">
        <f>VLOOKUP(C372,Courses!$A$1:$B$11,2,FALSE)</f>
        <v>Thermodynamics</v>
      </c>
      <c r="I372" t="str">
        <f>VLOOKUP(B372,Students!$A$1:$E$101,5,0)</f>
        <v>Mechanical</v>
      </c>
      <c r="J372">
        <f>VLOOKUP(C372,Courses!$A$1:$C$11,3,FALSE)</f>
        <v>3</v>
      </c>
    </row>
    <row r="373" spans="1:10">
      <c r="A373" t="s">
        <v>578</v>
      </c>
      <c r="B373" t="s">
        <v>98</v>
      </c>
      <c r="C373" t="s">
        <v>132</v>
      </c>
      <c r="D373">
        <v>6</v>
      </c>
      <c r="E373" t="s">
        <v>210</v>
      </c>
      <c r="F373" t="str">
        <f>VLOOKUP(B373,Students!$A$1:$C$101,2,FALSE)</f>
        <v>Emily Davis</v>
      </c>
      <c r="G373" t="str">
        <f>VLOOKUP(B373,Students!$A$1:$C$101,3,FALSE)</f>
        <v>M</v>
      </c>
      <c r="H373" t="str">
        <f>VLOOKUP(C373,Courses!$A$1:$B$11,2,FALSE)</f>
        <v>DBMS</v>
      </c>
      <c r="I373" t="str">
        <f>VLOOKUP(B373,Students!$A$1:$E$101,5,0)</f>
        <v>Computer Sci</v>
      </c>
      <c r="J373">
        <f>VLOOKUP(C373,Courses!$A$1:$C$11,3,FALSE)</f>
        <v>4</v>
      </c>
    </row>
    <row r="374" spans="1:10">
      <c r="A374" t="s">
        <v>579</v>
      </c>
      <c r="B374" t="s">
        <v>117</v>
      </c>
      <c r="C374" t="s">
        <v>144</v>
      </c>
      <c r="D374">
        <v>8</v>
      </c>
      <c r="E374" t="s">
        <v>210</v>
      </c>
      <c r="F374" t="str">
        <f>VLOOKUP(B374,Students!$A$1:$C$101,2,FALSE)</f>
        <v>Chris Evans</v>
      </c>
      <c r="G374" t="str">
        <f>VLOOKUP(B374,Students!$A$1:$C$101,3,FALSE)</f>
        <v>F</v>
      </c>
      <c r="H374" t="str">
        <f>VLOOKUP(C374,Courses!$A$1:$B$11,2,FALSE)</f>
        <v>Structural Analysis</v>
      </c>
      <c r="I374" t="str">
        <f>VLOOKUP(B374,Students!$A$1:$E$101,5,0)</f>
        <v>Management</v>
      </c>
      <c r="J374">
        <f>VLOOKUP(C374,Courses!$A$1:$C$11,3,FALSE)</f>
        <v>4</v>
      </c>
    </row>
    <row r="375" spans="1:10">
      <c r="A375" t="s">
        <v>580</v>
      </c>
      <c r="B375" t="s">
        <v>115</v>
      </c>
      <c r="C375" t="s">
        <v>144</v>
      </c>
      <c r="D375">
        <v>8</v>
      </c>
      <c r="E375" t="s">
        <v>204</v>
      </c>
      <c r="F375" t="str">
        <f>VLOOKUP(B375,Students!$A$1:$C$101,2,FALSE)</f>
        <v>Sophia Wilson</v>
      </c>
      <c r="G375" t="str">
        <f>VLOOKUP(B375,Students!$A$1:$C$101,3,FALSE)</f>
        <v>F</v>
      </c>
      <c r="H375" t="str">
        <f>VLOOKUP(C375,Courses!$A$1:$B$11,2,FALSE)</f>
        <v>Structural Analysis</v>
      </c>
      <c r="I375" t="str">
        <f>VLOOKUP(B375,Students!$A$1:$E$101,5,0)</f>
        <v>Computer Sci</v>
      </c>
      <c r="J375">
        <f>VLOOKUP(C375,Courses!$A$1:$C$11,3,FALSE)</f>
        <v>4</v>
      </c>
    </row>
    <row r="376" spans="1:10">
      <c r="A376" t="s">
        <v>581</v>
      </c>
      <c r="B376" t="s">
        <v>40</v>
      </c>
      <c r="C376" t="s">
        <v>132</v>
      </c>
      <c r="D376">
        <v>4</v>
      </c>
      <c r="E376" t="s">
        <v>201</v>
      </c>
      <c r="F376" t="str">
        <f>VLOOKUP(B376,Students!$A$1:$C$101,2,FALSE)</f>
        <v>Amit Kumar</v>
      </c>
      <c r="G376" t="str">
        <f>VLOOKUP(B376,Students!$A$1:$C$101,3,FALSE)</f>
        <v>M</v>
      </c>
      <c r="H376" t="str">
        <f>VLOOKUP(C376,Courses!$A$1:$B$11,2,FALSE)</f>
        <v>DBMS</v>
      </c>
      <c r="I376" t="str">
        <f>VLOOKUP(B376,Students!$A$1:$E$101,5,0)</f>
        <v>Computer Sci</v>
      </c>
      <c r="J376">
        <f>VLOOKUP(C376,Courses!$A$1:$C$11,3,FALSE)</f>
        <v>4</v>
      </c>
    </row>
    <row r="377" spans="1:10">
      <c r="A377" t="s">
        <v>582</v>
      </c>
      <c r="B377" t="s">
        <v>118</v>
      </c>
      <c r="C377" t="s">
        <v>144</v>
      </c>
      <c r="D377">
        <v>10</v>
      </c>
      <c r="E377" t="s">
        <v>210</v>
      </c>
      <c r="F377" t="str">
        <f>VLOOKUP(B377,Students!$A$1:$C$101,2,FALSE)</f>
        <v>Ankit Sharma</v>
      </c>
      <c r="G377" t="str">
        <f>VLOOKUP(B377,Students!$A$1:$C$101,3,FALSE)</f>
        <v>M</v>
      </c>
      <c r="H377" t="str">
        <f>VLOOKUP(C377,Courses!$A$1:$B$11,2,FALSE)</f>
        <v>Structural Analysis</v>
      </c>
      <c r="I377" t="str">
        <f>VLOOKUP(B377,Students!$A$1:$E$101,5,0)</f>
        <v>Mechanical</v>
      </c>
      <c r="J377">
        <f>VLOOKUP(C377,Courses!$A$1:$C$11,3,FALSE)</f>
        <v>4</v>
      </c>
    </row>
    <row r="378" spans="1:10">
      <c r="A378" t="s">
        <v>583</v>
      </c>
      <c r="B378" t="s">
        <v>112</v>
      </c>
      <c r="C378" t="s">
        <v>140</v>
      </c>
      <c r="D378">
        <v>10</v>
      </c>
      <c r="E378" t="s">
        <v>210</v>
      </c>
      <c r="F378" t="str">
        <f>VLOOKUP(B378,Students!$A$1:$C$101,2,FALSE)</f>
        <v>Robert Taylor</v>
      </c>
      <c r="G378" t="str">
        <f>VLOOKUP(B378,Students!$A$1:$C$101,3,FALSE)</f>
        <v>M</v>
      </c>
      <c r="H378" t="str">
        <f>VLOOKUP(C378,Courses!$A$1:$B$11,2,FALSE)</f>
        <v>Fluid Mechanics</v>
      </c>
      <c r="I378" t="str">
        <f>VLOOKUP(B378,Students!$A$1:$E$101,5,0)</f>
        <v>Mechanical</v>
      </c>
      <c r="J378">
        <f>VLOOKUP(C378,Courses!$A$1:$C$11,3,FALSE)</f>
        <v>4</v>
      </c>
    </row>
    <row r="379" spans="1:10">
      <c r="A379" t="s">
        <v>584</v>
      </c>
      <c r="B379" t="s">
        <v>63</v>
      </c>
      <c r="C379" t="s">
        <v>134</v>
      </c>
      <c r="D379">
        <v>8</v>
      </c>
      <c r="E379" t="s">
        <v>210</v>
      </c>
      <c r="F379" t="str">
        <f>VLOOKUP(B379,Students!$A$1:$C$101,2,FALSE)</f>
        <v>Amit Kumar</v>
      </c>
      <c r="G379" t="str">
        <f>VLOOKUP(B379,Students!$A$1:$C$101,3,FALSE)</f>
        <v>F</v>
      </c>
      <c r="H379" t="str">
        <f>VLOOKUP(C379,Courses!$A$1:$B$11,2,FALSE)</f>
        <v>Thermodynamics</v>
      </c>
      <c r="I379" t="str">
        <f>VLOOKUP(B379,Students!$A$1:$E$101,5,0)</f>
        <v>Computer Sci</v>
      </c>
      <c r="J379">
        <f>VLOOKUP(C379,Courses!$A$1:$C$11,3,FALSE)</f>
        <v>3</v>
      </c>
    </row>
    <row r="380" spans="1:10">
      <c r="A380" t="s">
        <v>585</v>
      </c>
      <c r="B380" t="s">
        <v>92</v>
      </c>
      <c r="C380" t="s">
        <v>136</v>
      </c>
      <c r="D380">
        <v>10</v>
      </c>
      <c r="E380" t="s">
        <v>201</v>
      </c>
      <c r="F380" t="str">
        <f>VLOOKUP(B380,Students!$A$1:$C$101,2,FALSE)</f>
        <v>James Clark</v>
      </c>
      <c r="G380" t="str">
        <f>VLOOKUP(B380,Students!$A$1:$C$101,3,FALSE)</f>
        <v>M</v>
      </c>
      <c r="H380" t="str">
        <f>VLOOKUP(C380,Courses!$A$1:$B$11,2,FALSE)</f>
        <v>Circuits</v>
      </c>
      <c r="I380" t="str">
        <f>VLOOKUP(B380,Students!$A$1:$E$101,5,0)</f>
        <v>Civil</v>
      </c>
      <c r="J380">
        <f>VLOOKUP(C380,Courses!$A$1:$C$11,3,FALSE)</f>
        <v>4</v>
      </c>
    </row>
    <row r="381" spans="1:10">
      <c r="A381" t="s">
        <v>586</v>
      </c>
      <c r="B381" t="s">
        <v>40</v>
      </c>
      <c r="C381" t="s">
        <v>136</v>
      </c>
      <c r="D381">
        <v>4</v>
      </c>
      <c r="E381" t="s">
        <v>204</v>
      </c>
      <c r="F381" t="str">
        <f>VLOOKUP(B381,Students!$A$1:$C$101,2,FALSE)</f>
        <v>Amit Kumar</v>
      </c>
      <c r="G381" t="str">
        <f>VLOOKUP(B381,Students!$A$1:$C$101,3,FALSE)</f>
        <v>M</v>
      </c>
      <c r="H381" t="str">
        <f>VLOOKUP(C381,Courses!$A$1:$B$11,2,FALSE)</f>
        <v>Circuits</v>
      </c>
      <c r="I381" t="str">
        <f>VLOOKUP(B381,Students!$A$1:$E$101,5,0)</f>
        <v>Computer Sci</v>
      </c>
      <c r="J381">
        <f>VLOOKUP(C381,Courses!$A$1:$C$11,3,FALSE)</f>
        <v>4</v>
      </c>
    </row>
    <row r="382" spans="1:10">
      <c r="A382" t="s">
        <v>587</v>
      </c>
      <c r="B382" t="s">
        <v>72</v>
      </c>
      <c r="C382" t="s">
        <v>146</v>
      </c>
      <c r="D382">
        <v>0</v>
      </c>
      <c r="E382" t="s">
        <v>210</v>
      </c>
      <c r="F382" t="str">
        <f>VLOOKUP(B382,Students!$A$1:$C$101,2,FALSE)</f>
        <v>Nisha Gupta</v>
      </c>
      <c r="G382" t="str">
        <f>VLOOKUP(B382,Students!$A$1:$C$101,3,FALSE)</f>
        <v>F</v>
      </c>
      <c r="H382" t="str">
        <f>VLOOKUP(C382,Courses!$A$1:$B$11,2,FALSE)</f>
        <v>Marketing</v>
      </c>
      <c r="I382" t="str">
        <f>VLOOKUP(B382,Students!$A$1:$E$101,5,0)</f>
        <v>Management</v>
      </c>
      <c r="J382">
        <f>VLOOKUP(C382,Courses!$A$1:$C$11,3,FALSE)</f>
        <v>3</v>
      </c>
    </row>
    <row r="383" spans="1:10">
      <c r="A383" t="s">
        <v>588</v>
      </c>
      <c r="B383" t="s">
        <v>86</v>
      </c>
      <c r="C383" t="s">
        <v>146</v>
      </c>
      <c r="D383">
        <v>8</v>
      </c>
      <c r="E383" t="s">
        <v>204</v>
      </c>
      <c r="F383" t="str">
        <f>VLOOKUP(B383,Students!$A$1:$C$101,2,FALSE)</f>
        <v>Sneha Patil</v>
      </c>
      <c r="G383" t="str">
        <f>VLOOKUP(B383,Students!$A$1:$C$101,3,FALSE)</f>
        <v>M</v>
      </c>
      <c r="H383" t="str">
        <f>VLOOKUP(C383,Courses!$A$1:$B$11,2,FALSE)</f>
        <v>Marketing</v>
      </c>
      <c r="I383" t="str">
        <f>VLOOKUP(B383,Students!$A$1:$E$101,5,0)</f>
        <v>Mechanical</v>
      </c>
      <c r="J383">
        <f>VLOOKUP(C383,Courses!$A$1:$C$11,3,FALSE)</f>
        <v>3</v>
      </c>
    </row>
    <row r="384" spans="1:10">
      <c r="A384" t="s">
        <v>589</v>
      </c>
      <c r="B384" t="s">
        <v>27</v>
      </c>
      <c r="C384" t="s">
        <v>138</v>
      </c>
      <c r="D384">
        <v>4</v>
      </c>
      <c r="E384" t="s">
        <v>207</v>
      </c>
      <c r="F384" t="str">
        <f>VLOOKUP(B384,Students!$A$1:$C$101,2,FALSE)</f>
        <v>Daniel Lee</v>
      </c>
      <c r="G384" t="str">
        <f>VLOOKUP(B384,Students!$A$1:$C$101,3,FALSE)</f>
        <v>F</v>
      </c>
      <c r="H384" t="str">
        <f>VLOOKUP(C384,Courses!$A$1:$B$11,2,FALSE)</f>
        <v>AI &amp; ML</v>
      </c>
      <c r="I384" t="str">
        <f>VLOOKUP(B384,Students!$A$1:$E$101,5,0)</f>
        <v>Computer Sci</v>
      </c>
      <c r="J384">
        <f>VLOOKUP(C384,Courses!$A$1:$C$11,3,FALSE)</f>
        <v>3</v>
      </c>
    </row>
    <row r="385" spans="1:10">
      <c r="A385" t="s">
        <v>590</v>
      </c>
      <c r="B385" t="s">
        <v>94</v>
      </c>
      <c r="C385" t="s">
        <v>142</v>
      </c>
      <c r="D385">
        <v>4</v>
      </c>
      <c r="E385" t="s">
        <v>204</v>
      </c>
      <c r="F385" t="str">
        <f>VLOOKUP(B385,Students!$A$1:$C$101,2,FALSE)</f>
        <v>Robert Taylor</v>
      </c>
      <c r="G385" t="str">
        <f>VLOOKUP(B385,Students!$A$1:$C$101,3,FALSE)</f>
        <v>F</v>
      </c>
      <c r="H385" t="str">
        <f>VLOOKUP(C385,Courses!$A$1:$B$11,2,FALSE)</f>
        <v>Digital Logic</v>
      </c>
      <c r="I385" t="str">
        <f>VLOOKUP(B385,Students!$A$1:$E$101,5,0)</f>
        <v>Mechanical</v>
      </c>
      <c r="J385">
        <f>VLOOKUP(C385,Courses!$A$1:$C$11,3,FALSE)</f>
        <v>3</v>
      </c>
    </row>
    <row r="386" spans="1:10">
      <c r="A386" t="s">
        <v>591</v>
      </c>
      <c r="B386" t="s">
        <v>38</v>
      </c>
      <c r="C386" t="s">
        <v>140</v>
      </c>
      <c r="D386">
        <v>10</v>
      </c>
      <c r="E386" t="s">
        <v>207</v>
      </c>
      <c r="F386" t="str">
        <f>VLOOKUP(B386,Students!$A$1:$C$101,2,FALSE)</f>
        <v>Michael Brown</v>
      </c>
      <c r="G386" t="str">
        <f>VLOOKUP(B386,Students!$A$1:$C$101,3,FALSE)</f>
        <v>F</v>
      </c>
      <c r="H386" t="str">
        <f>VLOOKUP(C386,Courses!$A$1:$B$11,2,FALSE)</f>
        <v>Fluid Mechanics</v>
      </c>
      <c r="I386" t="str">
        <f>VLOOKUP(B386,Students!$A$1:$E$101,5,0)</f>
        <v>Electronics</v>
      </c>
      <c r="J386">
        <f>VLOOKUP(C386,Courses!$A$1:$C$11,3,FALSE)</f>
        <v>4</v>
      </c>
    </row>
    <row r="387" spans="1:10">
      <c r="A387" t="s">
        <v>592</v>
      </c>
      <c r="B387" t="s">
        <v>86</v>
      </c>
      <c r="C387" t="s">
        <v>146</v>
      </c>
      <c r="D387">
        <v>6</v>
      </c>
      <c r="E387" t="s">
        <v>201</v>
      </c>
      <c r="F387" t="str">
        <f>VLOOKUP(B387,Students!$A$1:$C$101,2,FALSE)</f>
        <v>Sneha Patil</v>
      </c>
      <c r="G387" t="str">
        <f>VLOOKUP(B387,Students!$A$1:$C$101,3,FALSE)</f>
        <v>M</v>
      </c>
      <c r="H387" t="str">
        <f>VLOOKUP(C387,Courses!$A$1:$B$11,2,FALSE)</f>
        <v>Marketing</v>
      </c>
      <c r="I387" t="str">
        <f>VLOOKUP(B387,Students!$A$1:$E$101,5,0)</f>
        <v>Mechanical</v>
      </c>
      <c r="J387">
        <f>VLOOKUP(C387,Courses!$A$1:$C$11,3,FALSE)</f>
        <v>3</v>
      </c>
    </row>
    <row r="388" spans="1:10">
      <c r="A388" t="s">
        <v>593</v>
      </c>
      <c r="B388" t="s">
        <v>126</v>
      </c>
      <c r="C388" t="s">
        <v>146</v>
      </c>
      <c r="D388">
        <v>0</v>
      </c>
      <c r="E388" t="s">
        <v>201</v>
      </c>
      <c r="F388" t="str">
        <f>VLOOKUP(B388,Students!$A$1:$C$101,2,FALSE)</f>
        <v>Ankit Sharma</v>
      </c>
      <c r="G388" t="str">
        <f>VLOOKUP(B388,Students!$A$1:$C$101,3,FALSE)</f>
        <v>M</v>
      </c>
      <c r="H388" t="str">
        <f>VLOOKUP(C388,Courses!$A$1:$B$11,2,FALSE)</f>
        <v>Marketing</v>
      </c>
      <c r="I388" t="str">
        <f>VLOOKUP(B388,Students!$A$1:$E$101,5,0)</f>
        <v>Civil</v>
      </c>
      <c r="J388">
        <f>VLOOKUP(C388,Courses!$A$1:$C$11,3,FALSE)</f>
        <v>3</v>
      </c>
    </row>
    <row r="389" spans="1:10">
      <c r="A389" t="s">
        <v>594</v>
      </c>
      <c r="B389" t="s">
        <v>125</v>
      </c>
      <c r="C389" t="s">
        <v>134</v>
      </c>
      <c r="D389">
        <v>4</v>
      </c>
      <c r="E389" t="s">
        <v>204</v>
      </c>
      <c r="F389" t="str">
        <f>VLOOKUP(B389,Students!$A$1:$C$101,2,FALSE)</f>
        <v>Sophia Wilson</v>
      </c>
      <c r="G389" t="str">
        <f>VLOOKUP(B389,Students!$A$1:$C$101,3,FALSE)</f>
        <v>M</v>
      </c>
      <c r="H389" t="str">
        <f>VLOOKUP(C389,Courses!$A$1:$B$11,2,FALSE)</f>
        <v>Thermodynamics</v>
      </c>
      <c r="I389" t="str">
        <f>VLOOKUP(B389,Students!$A$1:$E$101,5,0)</f>
        <v>Civil</v>
      </c>
      <c r="J389">
        <f>VLOOKUP(C389,Courses!$A$1:$C$11,3,FALSE)</f>
        <v>3</v>
      </c>
    </row>
    <row r="390" spans="1:10">
      <c r="A390" t="s">
        <v>595</v>
      </c>
      <c r="B390" t="s">
        <v>36</v>
      </c>
      <c r="C390" t="s">
        <v>146</v>
      </c>
      <c r="D390">
        <v>8</v>
      </c>
      <c r="E390" t="s">
        <v>210</v>
      </c>
      <c r="F390" t="str">
        <f>VLOOKUP(B390,Students!$A$1:$C$101,2,FALSE)</f>
        <v>Sophia Wilson</v>
      </c>
      <c r="G390" t="str">
        <f>VLOOKUP(B390,Students!$A$1:$C$101,3,FALSE)</f>
        <v>M</v>
      </c>
      <c r="H390" t="str">
        <f>VLOOKUP(C390,Courses!$A$1:$B$11,2,FALSE)</f>
        <v>Marketing</v>
      </c>
      <c r="I390" t="str">
        <f>VLOOKUP(B390,Students!$A$1:$E$101,5,0)</f>
        <v>Electronics</v>
      </c>
      <c r="J390">
        <f>VLOOKUP(C390,Courses!$A$1:$C$11,3,FALSE)</f>
        <v>3</v>
      </c>
    </row>
    <row r="391" spans="1:10">
      <c r="A391" t="s">
        <v>596</v>
      </c>
      <c r="B391" t="s">
        <v>44</v>
      </c>
      <c r="C391" t="s">
        <v>134</v>
      </c>
      <c r="D391">
        <v>6</v>
      </c>
      <c r="E391" t="s">
        <v>201</v>
      </c>
      <c r="F391" t="str">
        <f>VLOOKUP(B391,Students!$A$1:$C$101,2,FALSE)</f>
        <v>Sophia Wilson</v>
      </c>
      <c r="G391" t="str">
        <f>VLOOKUP(B391,Students!$A$1:$C$101,3,FALSE)</f>
        <v>M</v>
      </c>
      <c r="H391" t="str">
        <f>VLOOKUP(C391,Courses!$A$1:$B$11,2,FALSE)</f>
        <v>Thermodynamics</v>
      </c>
      <c r="I391" t="str">
        <f>VLOOKUP(B391,Students!$A$1:$E$101,5,0)</f>
        <v>Civil</v>
      </c>
      <c r="J391">
        <f>VLOOKUP(C391,Courses!$A$1:$C$11,3,FALSE)</f>
        <v>3</v>
      </c>
    </row>
    <row r="392" spans="1:10">
      <c r="A392" t="s">
        <v>597</v>
      </c>
      <c r="B392" t="s">
        <v>70</v>
      </c>
      <c r="C392" t="s">
        <v>146</v>
      </c>
      <c r="D392">
        <v>6</v>
      </c>
      <c r="E392" t="s">
        <v>204</v>
      </c>
      <c r="F392" t="str">
        <f>VLOOKUP(B392,Students!$A$1:$C$101,2,FALSE)</f>
        <v>Sophia Wilson</v>
      </c>
      <c r="G392" t="str">
        <f>VLOOKUP(B392,Students!$A$1:$C$101,3,FALSE)</f>
        <v>F</v>
      </c>
      <c r="H392" t="str">
        <f>VLOOKUP(C392,Courses!$A$1:$B$11,2,FALSE)</f>
        <v>Marketing</v>
      </c>
      <c r="I392" t="str">
        <f>VLOOKUP(B392,Students!$A$1:$E$101,5,0)</f>
        <v>Management</v>
      </c>
      <c r="J392">
        <f>VLOOKUP(C392,Courses!$A$1:$C$11,3,FALSE)</f>
        <v>3</v>
      </c>
    </row>
    <row r="393" spans="1:10">
      <c r="A393" t="s">
        <v>598</v>
      </c>
      <c r="B393" t="s">
        <v>57</v>
      </c>
      <c r="C393" t="s">
        <v>136</v>
      </c>
      <c r="D393">
        <v>0</v>
      </c>
      <c r="E393" t="s">
        <v>210</v>
      </c>
      <c r="F393" t="str">
        <f>VLOOKUP(B393,Students!$A$1:$C$101,2,FALSE)</f>
        <v>Daniel Lee</v>
      </c>
      <c r="G393" t="str">
        <f>VLOOKUP(B393,Students!$A$1:$C$101,3,FALSE)</f>
        <v>F</v>
      </c>
      <c r="H393" t="str">
        <f>VLOOKUP(C393,Courses!$A$1:$B$11,2,FALSE)</f>
        <v>Circuits</v>
      </c>
      <c r="I393" t="str">
        <f>VLOOKUP(B393,Students!$A$1:$E$101,5,0)</f>
        <v>Computer Sci</v>
      </c>
      <c r="J393">
        <f>VLOOKUP(C393,Courses!$A$1:$C$11,3,FALSE)</f>
        <v>4</v>
      </c>
    </row>
    <row r="394" spans="1:10">
      <c r="A394" t="s">
        <v>599</v>
      </c>
      <c r="B394" t="s">
        <v>38</v>
      </c>
      <c r="C394" t="s">
        <v>138</v>
      </c>
      <c r="D394">
        <v>0</v>
      </c>
      <c r="E394" t="s">
        <v>204</v>
      </c>
      <c r="F394" t="str">
        <f>VLOOKUP(B394,Students!$A$1:$C$101,2,FALSE)</f>
        <v>Michael Brown</v>
      </c>
      <c r="G394" t="str">
        <f>VLOOKUP(B394,Students!$A$1:$C$101,3,FALSE)</f>
        <v>F</v>
      </c>
      <c r="H394" t="str">
        <f>VLOOKUP(C394,Courses!$A$1:$B$11,2,FALSE)</f>
        <v>AI &amp; ML</v>
      </c>
      <c r="I394" t="str">
        <f>VLOOKUP(B394,Students!$A$1:$E$101,5,0)</f>
        <v>Electronics</v>
      </c>
      <c r="J394">
        <f>VLOOKUP(C394,Courses!$A$1:$C$11,3,FALSE)</f>
        <v>3</v>
      </c>
    </row>
    <row r="395" spans="1:10">
      <c r="A395" t="s">
        <v>600</v>
      </c>
      <c r="B395" t="s">
        <v>91</v>
      </c>
      <c r="C395" t="s">
        <v>134</v>
      </c>
      <c r="D395">
        <v>0</v>
      </c>
      <c r="E395" t="s">
        <v>201</v>
      </c>
      <c r="F395" t="str">
        <f>VLOOKUP(B395,Students!$A$1:$C$101,2,FALSE)</f>
        <v>Michael Brown</v>
      </c>
      <c r="G395" t="str">
        <f>VLOOKUP(B395,Students!$A$1:$C$101,3,FALSE)</f>
        <v>F</v>
      </c>
      <c r="H395" t="str">
        <f>VLOOKUP(C395,Courses!$A$1:$B$11,2,FALSE)</f>
        <v>Thermodynamics</v>
      </c>
      <c r="I395" t="str">
        <f>VLOOKUP(B395,Students!$A$1:$E$101,5,0)</f>
        <v>Civil</v>
      </c>
      <c r="J395">
        <f>VLOOKUP(C395,Courses!$A$1:$C$11,3,FALSE)</f>
        <v>3</v>
      </c>
    </row>
    <row r="396" spans="1:10">
      <c r="A396" t="s">
        <v>601</v>
      </c>
      <c r="B396" t="s">
        <v>44</v>
      </c>
      <c r="C396" t="s">
        <v>148</v>
      </c>
      <c r="D396">
        <v>0</v>
      </c>
      <c r="E396" t="s">
        <v>210</v>
      </c>
      <c r="F396" t="str">
        <f>VLOOKUP(B396,Students!$A$1:$C$101,2,FALSE)</f>
        <v>Sophia Wilson</v>
      </c>
      <c r="G396" t="str">
        <f>VLOOKUP(B396,Students!$A$1:$C$101,3,FALSE)</f>
        <v>M</v>
      </c>
      <c r="H396" t="str">
        <f>VLOOKUP(C396,Courses!$A$1:$B$11,2,FALSE)</f>
        <v>Finance</v>
      </c>
      <c r="I396" t="str">
        <f>VLOOKUP(B396,Students!$A$1:$E$101,5,0)</f>
        <v>Civil</v>
      </c>
      <c r="J396">
        <f>VLOOKUP(C396,Courses!$A$1:$C$11,3,FALSE)</f>
        <v>4</v>
      </c>
    </row>
    <row r="397" spans="1:10">
      <c r="A397" t="s">
        <v>602</v>
      </c>
      <c r="B397" t="s">
        <v>99</v>
      </c>
      <c r="C397" t="s">
        <v>130</v>
      </c>
      <c r="D397">
        <v>10</v>
      </c>
      <c r="E397" t="s">
        <v>204</v>
      </c>
      <c r="F397" t="str">
        <f>VLOOKUP(B397,Students!$A$1:$C$101,2,FALSE)</f>
        <v>Raj Mehta</v>
      </c>
      <c r="G397" t="str">
        <f>VLOOKUP(B397,Students!$A$1:$C$101,3,FALSE)</f>
        <v>M</v>
      </c>
      <c r="H397" t="str">
        <f>VLOOKUP(C397,Courses!$A$1:$B$11,2,FALSE)</f>
        <v>Data Structures</v>
      </c>
      <c r="I397" t="str">
        <f>VLOOKUP(B397,Students!$A$1:$E$101,5,0)</f>
        <v>Civil</v>
      </c>
      <c r="J397">
        <f>VLOOKUP(C397,Courses!$A$1:$C$11,3,FALSE)</f>
        <v>3</v>
      </c>
    </row>
    <row r="398" spans="1:10">
      <c r="A398" t="s">
        <v>603</v>
      </c>
      <c r="B398" t="s">
        <v>19</v>
      </c>
      <c r="C398" t="s">
        <v>148</v>
      </c>
      <c r="D398">
        <v>6</v>
      </c>
      <c r="E398" t="s">
        <v>201</v>
      </c>
      <c r="F398" t="str">
        <f>VLOOKUP(B398,Students!$A$1:$C$101,2,FALSE)</f>
        <v>Sara Khan</v>
      </c>
      <c r="G398" t="str">
        <f>VLOOKUP(B398,Students!$A$1:$C$101,3,FALSE)</f>
        <v>M</v>
      </c>
      <c r="H398" t="str">
        <f>VLOOKUP(C398,Courses!$A$1:$B$11,2,FALSE)</f>
        <v>Finance</v>
      </c>
      <c r="I398" t="str">
        <f>VLOOKUP(B398,Students!$A$1:$E$101,5,0)</f>
        <v>Management</v>
      </c>
      <c r="J398">
        <f>VLOOKUP(C398,Courses!$A$1:$C$11,3,FALSE)</f>
        <v>4</v>
      </c>
    </row>
    <row r="399" spans="1:10">
      <c r="A399" t="s">
        <v>604</v>
      </c>
      <c r="B399" t="s">
        <v>125</v>
      </c>
      <c r="C399" t="s">
        <v>148</v>
      </c>
      <c r="D399">
        <v>4</v>
      </c>
      <c r="E399" t="s">
        <v>204</v>
      </c>
      <c r="F399" t="str">
        <f>VLOOKUP(B399,Students!$A$1:$C$101,2,FALSE)</f>
        <v>Sophia Wilson</v>
      </c>
      <c r="G399" t="str">
        <f>VLOOKUP(B399,Students!$A$1:$C$101,3,FALSE)</f>
        <v>M</v>
      </c>
      <c r="H399" t="str">
        <f>VLOOKUP(C399,Courses!$A$1:$B$11,2,FALSE)</f>
        <v>Finance</v>
      </c>
      <c r="I399" t="str">
        <f>VLOOKUP(B399,Students!$A$1:$E$101,5,0)</f>
        <v>Civil</v>
      </c>
      <c r="J399">
        <f>VLOOKUP(C399,Courses!$A$1:$C$11,3,FALSE)</f>
        <v>4</v>
      </c>
    </row>
    <row r="400" spans="1:10">
      <c r="A400" t="s">
        <v>605</v>
      </c>
      <c r="B400" t="s">
        <v>90</v>
      </c>
      <c r="C400" t="s">
        <v>146</v>
      </c>
      <c r="D400">
        <v>6</v>
      </c>
      <c r="E400" t="s">
        <v>210</v>
      </c>
      <c r="F400" t="str">
        <f>VLOOKUP(B400,Students!$A$1:$C$101,2,FALSE)</f>
        <v>James Clark</v>
      </c>
      <c r="G400" t="str">
        <f>VLOOKUP(B400,Students!$A$1:$C$101,3,FALSE)</f>
        <v>M</v>
      </c>
      <c r="H400" t="str">
        <f>VLOOKUP(C400,Courses!$A$1:$B$11,2,FALSE)</f>
        <v>Marketing</v>
      </c>
      <c r="I400" t="str">
        <f>VLOOKUP(B400,Students!$A$1:$E$101,5,0)</f>
        <v>Civil</v>
      </c>
      <c r="J400">
        <f>VLOOKUP(C400,Courses!$A$1:$C$11,3,FALSE)</f>
        <v>3</v>
      </c>
    </row>
    <row r="401" spans="1:10">
      <c r="A401" t="s">
        <v>606</v>
      </c>
      <c r="B401" t="s">
        <v>88</v>
      </c>
      <c r="C401" t="s">
        <v>136</v>
      </c>
      <c r="D401">
        <v>4</v>
      </c>
      <c r="E401" t="s">
        <v>210</v>
      </c>
      <c r="F401" t="str">
        <f>VLOOKUP(B401,Students!$A$1:$C$101,2,FALSE)</f>
        <v>Sneha Patil</v>
      </c>
      <c r="G401" t="str">
        <f>VLOOKUP(B401,Students!$A$1:$C$101,3,FALSE)</f>
        <v>M</v>
      </c>
      <c r="H401" t="str">
        <f>VLOOKUP(C401,Courses!$A$1:$B$11,2,FALSE)</f>
        <v>Circuits</v>
      </c>
      <c r="I401" t="str">
        <f>VLOOKUP(B401,Students!$A$1:$E$101,5,0)</f>
        <v>Management</v>
      </c>
      <c r="J401">
        <f>VLOOKUP(C401,Courses!$A$1:$C$11,3,FALSE)</f>
        <v>4</v>
      </c>
    </row>
    <row r="402" spans="1:10">
      <c r="A402" t="s">
        <v>607</v>
      </c>
      <c r="B402" t="s">
        <v>85</v>
      </c>
      <c r="C402" t="s">
        <v>132</v>
      </c>
      <c r="D402">
        <v>10</v>
      </c>
      <c r="E402" t="s">
        <v>201</v>
      </c>
      <c r="F402" t="str">
        <f>VLOOKUP(B402,Students!$A$1:$C$101,2,FALSE)</f>
        <v>Chris Evans</v>
      </c>
      <c r="G402" t="str">
        <f>VLOOKUP(B402,Students!$A$1:$C$101,3,FALSE)</f>
        <v>F</v>
      </c>
      <c r="H402" t="str">
        <f>VLOOKUP(C402,Courses!$A$1:$B$11,2,FALSE)</f>
        <v>DBMS</v>
      </c>
      <c r="I402" t="str">
        <f>VLOOKUP(B402,Students!$A$1:$E$101,5,0)</f>
        <v>Mechanical</v>
      </c>
      <c r="J402">
        <f>VLOOKUP(C402,Courses!$A$1:$C$11,3,FALSE)</f>
        <v>4</v>
      </c>
    </row>
    <row r="403" spans="1:10">
      <c r="A403" t="s">
        <v>608</v>
      </c>
      <c r="B403" t="s">
        <v>83</v>
      </c>
      <c r="C403" t="s">
        <v>142</v>
      </c>
      <c r="D403">
        <v>4</v>
      </c>
      <c r="E403" t="s">
        <v>207</v>
      </c>
      <c r="F403" t="str">
        <f>VLOOKUP(B403,Students!$A$1:$C$101,2,FALSE)</f>
        <v>Sara Khan</v>
      </c>
      <c r="G403" t="str">
        <f>VLOOKUP(B403,Students!$A$1:$C$101,3,FALSE)</f>
        <v>F</v>
      </c>
      <c r="H403" t="str">
        <f>VLOOKUP(C403,Courses!$A$1:$B$11,2,FALSE)</f>
        <v>Digital Logic</v>
      </c>
      <c r="I403" t="str">
        <f>VLOOKUP(B403,Students!$A$1:$E$101,5,0)</f>
        <v>Computer Sci</v>
      </c>
      <c r="J403">
        <f>VLOOKUP(C403,Courses!$A$1:$C$11,3,FALSE)</f>
        <v>3</v>
      </c>
    </row>
    <row r="404" spans="1:10">
      <c r="A404" t="s">
        <v>609</v>
      </c>
      <c r="B404" t="s">
        <v>51</v>
      </c>
      <c r="C404" t="s">
        <v>140</v>
      </c>
      <c r="D404">
        <v>0</v>
      </c>
      <c r="E404" t="s">
        <v>201</v>
      </c>
      <c r="F404" t="str">
        <f>VLOOKUP(B404,Students!$A$1:$C$101,2,FALSE)</f>
        <v>Sara Khan</v>
      </c>
      <c r="G404" t="str">
        <f>VLOOKUP(B404,Students!$A$1:$C$101,3,FALSE)</f>
        <v>F</v>
      </c>
      <c r="H404" t="str">
        <f>VLOOKUP(C404,Courses!$A$1:$B$11,2,FALSE)</f>
        <v>Fluid Mechanics</v>
      </c>
      <c r="I404" t="str">
        <f>VLOOKUP(B404,Students!$A$1:$E$101,5,0)</f>
        <v>Mechanical</v>
      </c>
      <c r="J404">
        <f>VLOOKUP(C404,Courses!$A$1:$C$11,3,FALSE)</f>
        <v>4</v>
      </c>
    </row>
    <row r="405" spans="1:10">
      <c r="A405" t="s">
        <v>610</v>
      </c>
      <c r="B405" t="s">
        <v>65</v>
      </c>
      <c r="C405" t="s">
        <v>140</v>
      </c>
      <c r="D405">
        <v>6</v>
      </c>
      <c r="E405" t="s">
        <v>207</v>
      </c>
      <c r="F405" t="str">
        <f>VLOOKUP(B405,Students!$A$1:$C$101,2,FALSE)</f>
        <v>Ankit Sharma</v>
      </c>
      <c r="G405" t="str">
        <f>VLOOKUP(B405,Students!$A$1:$C$101,3,FALSE)</f>
        <v>M</v>
      </c>
      <c r="H405" t="str">
        <f>VLOOKUP(C405,Courses!$A$1:$B$11,2,FALSE)</f>
        <v>Fluid Mechanics</v>
      </c>
      <c r="I405" t="str">
        <f>VLOOKUP(B405,Students!$A$1:$E$101,5,0)</f>
        <v>Computer Sci</v>
      </c>
      <c r="J405">
        <f>VLOOKUP(C405,Courses!$A$1:$C$11,3,FALSE)</f>
        <v>4</v>
      </c>
    </row>
    <row r="406" spans="1:10">
      <c r="A406" t="s">
        <v>611</v>
      </c>
      <c r="B406" t="s">
        <v>38</v>
      </c>
      <c r="C406" t="s">
        <v>140</v>
      </c>
      <c r="D406">
        <v>0</v>
      </c>
      <c r="E406" t="s">
        <v>204</v>
      </c>
      <c r="F406" t="str">
        <f>VLOOKUP(B406,Students!$A$1:$C$101,2,FALSE)</f>
        <v>Michael Brown</v>
      </c>
      <c r="G406" t="str">
        <f>VLOOKUP(B406,Students!$A$1:$C$101,3,FALSE)</f>
        <v>F</v>
      </c>
      <c r="H406" t="str">
        <f>VLOOKUP(C406,Courses!$A$1:$B$11,2,FALSE)</f>
        <v>Fluid Mechanics</v>
      </c>
      <c r="I406" t="str">
        <f>VLOOKUP(B406,Students!$A$1:$E$101,5,0)</f>
        <v>Electronics</v>
      </c>
      <c r="J406">
        <f>VLOOKUP(C406,Courses!$A$1:$C$11,3,FALSE)</f>
        <v>4</v>
      </c>
    </row>
    <row r="407" spans="1:10">
      <c r="A407" t="s">
        <v>612</v>
      </c>
      <c r="B407" t="s">
        <v>65</v>
      </c>
      <c r="C407" t="s">
        <v>136</v>
      </c>
      <c r="D407">
        <v>4</v>
      </c>
      <c r="E407" t="s">
        <v>204</v>
      </c>
      <c r="F407" t="str">
        <f>VLOOKUP(B407,Students!$A$1:$C$101,2,FALSE)</f>
        <v>Ankit Sharma</v>
      </c>
      <c r="G407" t="str">
        <f>VLOOKUP(B407,Students!$A$1:$C$101,3,FALSE)</f>
        <v>M</v>
      </c>
      <c r="H407" t="str">
        <f>VLOOKUP(C407,Courses!$A$1:$B$11,2,FALSE)</f>
        <v>Circuits</v>
      </c>
      <c r="I407" t="str">
        <f>VLOOKUP(B407,Students!$A$1:$E$101,5,0)</f>
        <v>Computer Sci</v>
      </c>
      <c r="J407">
        <f>VLOOKUP(C407,Courses!$A$1:$C$11,3,FALSE)</f>
        <v>4</v>
      </c>
    </row>
    <row r="408" spans="1:10">
      <c r="A408" t="s">
        <v>613</v>
      </c>
      <c r="B408" t="s">
        <v>59</v>
      </c>
      <c r="C408" t="s">
        <v>144</v>
      </c>
      <c r="D408">
        <v>8</v>
      </c>
      <c r="E408" t="s">
        <v>201</v>
      </c>
      <c r="F408" t="str">
        <f>VLOOKUP(B408,Students!$A$1:$C$101,2,FALSE)</f>
        <v>Ankit Sharma</v>
      </c>
      <c r="G408" t="str">
        <f>VLOOKUP(B408,Students!$A$1:$C$101,3,FALSE)</f>
        <v>F</v>
      </c>
      <c r="H408" t="str">
        <f>VLOOKUP(C408,Courses!$A$1:$B$11,2,FALSE)</f>
        <v>Structural Analysis</v>
      </c>
      <c r="I408" t="str">
        <f>VLOOKUP(B408,Students!$A$1:$E$101,5,0)</f>
        <v>Management</v>
      </c>
      <c r="J408">
        <f>VLOOKUP(C408,Courses!$A$1:$C$11,3,FALSE)</f>
        <v>4</v>
      </c>
    </row>
    <row r="409" spans="1:10">
      <c r="A409" t="s">
        <v>614</v>
      </c>
      <c r="B409" t="s">
        <v>33</v>
      </c>
      <c r="C409" t="s">
        <v>130</v>
      </c>
      <c r="D409">
        <v>6</v>
      </c>
      <c r="E409" t="s">
        <v>207</v>
      </c>
      <c r="F409" t="str">
        <f>VLOOKUP(B409,Students!$A$1:$C$101,2,FALSE)</f>
        <v>Emily Davis</v>
      </c>
      <c r="G409" t="str">
        <f>VLOOKUP(B409,Students!$A$1:$C$101,3,FALSE)</f>
        <v>F</v>
      </c>
      <c r="H409" t="str">
        <f>VLOOKUP(C409,Courses!$A$1:$B$11,2,FALSE)</f>
        <v>Data Structures</v>
      </c>
      <c r="I409" t="str">
        <f>VLOOKUP(B409,Students!$A$1:$E$101,5,0)</f>
        <v>Management</v>
      </c>
      <c r="J409">
        <f>VLOOKUP(C409,Courses!$A$1:$C$11,3,FALSE)</f>
        <v>3</v>
      </c>
    </row>
    <row r="410" spans="1:10">
      <c r="A410" t="s">
        <v>615</v>
      </c>
      <c r="B410" t="s">
        <v>105</v>
      </c>
      <c r="C410" t="s">
        <v>142</v>
      </c>
      <c r="D410">
        <v>8</v>
      </c>
      <c r="E410" t="s">
        <v>201</v>
      </c>
      <c r="F410" t="str">
        <f>VLOOKUP(B410,Students!$A$1:$C$101,2,FALSE)</f>
        <v>Raj Mehta</v>
      </c>
      <c r="G410" t="str">
        <f>VLOOKUP(B410,Students!$A$1:$C$101,3,FALSE)</f>
        <v>M</v>
      </c>
      <c r="H410" t="str">
        <f>VLOOKUP(C410,Courses!$A$1:$B$11,2,FALSE)</f>
        <v>Digital Logic</v>
      </c>
      <c r="I410" t="str">
        <f>VLOOKUP(B410,Students!$A$1:$E$101,5,0)</f>
        <v>Management</v>
      </c>
      <c r="J410">
        <f>VLOOKUP(C410,Courses!$A$1:$C$11,3,FALSE)</f>
        <v>3</v>
      </c>
    </row>
    <row r="411" spans="1:10">
      <c r="A411" t="s">
        <v>616</v>
      </c>
      <c r="B411" t="s">
        <v>66</v>
      </c>
      <c r="C411" t="s">
        <v>148</v>
      </c>
      <c r="D411">
        <v>6</v>
      </c>
      <c r="E411" t="s">
        <v>201</v>
      </c>
      <c r="F411" t="str">
        <f>VLOOKUP(B411,Students!$A$1:$C$101,2,FALSE)</f>
        <v>Chris Evans</v>
      </c>
      <c r="G411" t="str">
        <f>VLOOKUP(B411,Students!$A$1:$C$101,3,FALSE)</f>
        <v>F</v>
      </c>
      <c r="H411" t="str">
        <f>VLOOKUP(C411,Courses!$A$1:$B$11,2,FALSE)</f>
        <v>Finance</v>
      </c>
      <c r="I411" t="str">
        <f>VLOOKUP(B411,Students!$A$1:$E$101,5,0)</f>
        <v>Management</v>
      </c>
      <c r="J411">
        <f>VLOOKUP(C411,Courses!$A$1:$C$11,3,FALSE)</f>
        <v>4</v>
      </c>
    </row>
    <row r="412" spans="1:10">
      <c r="A412" t="s">
        <v>617</v>
      </c>
      <c r="B412" t="s">
        <v>124</v>
      </c>
      <c r="C412" t="s">
        <v>134</v>
      </c>
      <c r="D412">
        <v>4</v>
      </c>
      <c r="E412" t="s">
        <v>207</v>
      </c>
      <c r="F412" t="str">
        <f>VLOOKUP(B412,Students!$A$1:$C$101,2,FALSE)</f>
        <v>James Clark</v>
      </c>
      <c r="G412" t="str">
        <f>VLOOKUP(B412,Students!$A$1:$C$101,3,FALSE)</f>
        <v>F</v>
      </c>
      <c r="H412" t="str">
        <f>VLOOKUP(C412,Courses!$A$1:$B$11,2,FALSE)</f>
        <v>Thermodynamics</v>
      </c>
      <c r="I412" t="str">
        <f>VLOOKUP(B412,Students!$A$1:$E$101,5,0)</f>
        <v>Mechanical</v>
      </c>
      <c r="J412">
        <f>VLOOKUP(C412,Courses!$A$1:$C$11,3,FALSE)</f>
        <v>3</v>
      </c>
    </row>
    <row r="413" spans="1:10">
      <c r="A413" t="s">
        <v>618</v>
      </c>
      <c r="B413" t="s">
        <v>90</v>
      </c>
      <c r="C413" t="s">
        <v>138</v>
      </c>
      <c r="D413">
        <v>4</v>
      </c>
      <c r="E413" t="s">
        <v>204</v>
      </c>
      <c r="F413" t="str">
        <f>VLOOKUP(B413,Students!$A$1:$C$101,2,FALSE)</f>
        <v>James Clark</v>
      </c>
      <c r="G413" t="str">
        <f>VLOOKUP(B413,Students!$A$1:$C$101,3,FALSE)</f>
        <v>M</v>
      </c>
      <c r="H413" t="str">
        <f>VLOOKUP(C413,Courses!$A$1:$B$11,2,FALSE)</f>
        <v>AI &amp; ML</v>
      </c>
      <c r="I413" t="str">
        <f>VLOOKUP(B413,Students!$A$1:$E$101,5,0)</f>
        <v>Civil</v>
      </c>
      <c r="J413">
        <f>VLOOKUP(C413,Courses!$A$1:$C$11,3,FALSE)</f>
        <v>3</v>
      </c>
    </row>
    <row r="414" spans="1:10">
      <c r="A414" t="s">
        <v>619</v>
      </c>
      <c r="B414" t="s">
        <v>32</v>
      </c>
      <c r="C414" t="s">
        <v>142</v>
      </c>
      <c r="D414">
        <v>0</v>
      </c>
      <c r="E414" t="s">
        <v>207</v>
      </c>
      <c r="F414" t="str">
        <f>VLOOKUP(B414,Students!$A$1:$C$101,2,FALSE)</f>
        <v>Emily Davis</v>
      </c>
      <c r="G414" t="str">
        <f>VLOOKUP(B414,Students!$A$1:$C$101,3,FALSE)</f>
        <v>M</v>
      </c>
      <c r="H414" t="str">
        <f>VLOOKUP(C414,Courses!$A$1:$B$11,2,FALSE)</f>
        <v>Digital Logic</v>
      </c>
      <c r="I414" t="str">
        <f>VLOOKUP(B414,Students!$A$1:$E$101,5,0)</f>
        <v>Computer Sci</v>
      </c>
      <c r="J414">
        <f>VLOOKUP(C414,Courses!$A$1:$C$11,3,FALSE)</f>
        <v>3</v>
      </c>
    </row>
    <row r="415" spans="1:10">
      <c r="A415" t="s">
        <v>620</v>
      </c>
      <c r="B415" t="s">
        <v>55</v>
      </c>
      <c r="C415" t="s">
        <v>136</v>
      </c>
      <c r="D415">
        <v>0</v>
      </c>
      <c r="E415" t="s">
        <v>210</v>
      </c>
      <c r="F415" t="str">
        <f>VLOOKUP(B415,Students!$A$1:$C$101,2,FALSE)</f>
        <v>Sara Khan</v>
      </c>
      <c r="G415" t="str">
        <f>VLOOKUP(B415,Students!$A$1:$C$101,3,FALSE)</f>
        <v>F</v>
      </c>
      <c r="H415" t="str">
        <f>VLOOKUP(C415,Courses!$A$1:$B$11,2,FALSE)</f>
        <v>Circuits</v>
      </c>
      <c r="I415" t="str">
        <f>VLOOKUP(B415,Students!$A$1:$E$101,5,0)</f>
        <v>Management</v>
      </c>
      <c r="J415">
        <f>VLOOKUP(C415,Courses!$A$1:$C$11,3,FALSE)</f>
        <v>4</v>
      </c>
    </row>
    <row r="416" spans="1:10">
      <c r="A416" t="s">
        <v>621</v>
      </c>
      <c r="B416" t="s">
        <v>21</v>
      </c>
      <c r="C416" t="s">
        <v>130</v>
      </c>
      <c r="D416">
        <v>6</v>
      </c>
      <c r="E416" t="s">
        <v>207</v>
      </c>
      <c r="F416" t="str">
        <f>VLOOKUP(B416,Students!$A$1:$C$101,2,FALSE)</f>
        <v>Robert Taylor</v>
      </c>
      <c r="G416" t="str">
        <f>VLOOKUP(B416,Students!$A$1:$C$101,3,FALSE)</f>
        <v>M</v>
      </c>
      <c r="H416" t="str">
        <f>VLOOKUP(C416,Courses!$A$1:$B$11,2,FALSE)</f>
        <v>Data Structures</v>
      </c>
      <c r="I416" t="str">
        <f>VLOOKUP(B416,Students!$A$1:$E$101,5,0)</f>
        <v>Civil</v>
      </c>
      <c r="J416">
        <f>VLOOKUP(C416,Courses!$A$1:$C$11,3,FALSE)</f>
        <v>3</v>
      </c>
    </row>
    <row r="417" spans="1:10">
      <c r="A417" t="s">
        <v>622</v>
      </c>
      <c r="B417" t="s">
        <v>103</v>
      </c>
      <c r="C417" t="s">
        <v>144</v>
      </c>
      <c r="D417">
        <v>6</v>
      </c>
      <c r="E417" t="s">
        <v>204</v>
      </c>
      <c r="F417" t="str">
        <f>VLOOKUP(B417,Students!$A$1:$C$101,2,FALSE)</f>
        <v>Sara Khan</v>
      </c>
      <c r="G417" t="str">
        <f>VLOOKUP(B417,Students!$A$1:$C$101,3,FALSE)</f>
        <v>M</v>
      </c>
      <c r="H417" t="str">
        <f>VLOOKUP(C417,Courses!$A$1:$B$11,2,FALSE)</f>
        <v>Structural Analysis</v>
      </c>
      <c r="I417" t="str">
        <f>VLOOKUP(B417,Students!$A$1:$E$101,5,0)</f>
        <v>Civil</v>
      </c>
      <c r="J417">
        <f>VLOOKUP(C417,Courses!$A$1:$C$11,3,FALSE)</f>
        <v>4</v>
      </c>
    </row>
    <row r="418" spans="1:10">
      <c r="A418" t="s">
        <v>623</v>
      </c>
      <c r="B418" t="s">
        <v>34</v>
      </c>
      <c r="C418" t="s">
        <v>142</v>
      </c>
      <c r="D418">
        <v>8</v>
      </c>
      <c r="E418" t="s">
        <v>210</v>
      </c>
      <c r="F418" t="str">
        <f>VLOOKUP(B418,Students!$A$1:$C$101,2,FALSE)</f>
        <v>Sneha Patil</v>
      </c>
      <c r="G418" t="str">
        <f>VLOOKUP(B418,Students!$A$1:$C$101,3,FALSE)</f>
        <v>M</v>
      </c>
      <c r="H418" t="str">
        <f>VLOOKUP(C418,Courses!$A$1:$B$11,2,FALSE)</f>
        <v>Digital Logic</v>
      </c>
      <c r="I418" t="str">
        <f>VLOOKUP(B418,Students!$A$1:$E$101,5,0)</f>
        <v>Mechanical</v>
      </c>
      <c r="J418">
        <f>VLOOKUP(C418,Courses!$A$1:$C$11,3,FALSE)</f>
        <v>3</v>
      </c>
    </row>
    <row r="419" spans="1:10">
      <c r="A419" t="s">
        <v>624</v>
      </c>
      <c r="B419" t="s">
        <v>120</v>
      </c>
      <c r="C419" t="s">
        <v>140</v>
      </c>
      <c r="D419">
        <v>4</v>
      </c>
      <c r="E419" t="s">
        <v>210</v>
      </c>
      <c r="F419" t="str">
        <f>VLOOKUP(B419,Students!$A$1:$C$101,2,FALSE)</f>
        <v>Emily Davis</v>
      </c>
      <c r="G419" t="str">
        <f>VLOOKUP(B419,Students!$A$1:$C$101,3,FALSE)</f>
        <v>M</v>
      </c>
      <c r="H419" t="str">
        <f>VLOOKUP(C419,Courses!$A$1:$B$11,2,FALSE)</f>
        <v>Fluid Mechanics</v>
      </c>
      <c r="I419" t="str">
        <f>VLOOKUP(B419,Students!$A$1:$E$101,5,0)</f>
        <v>Mechanical</v>
      </c>
      <c r="J419">
        <f>VLOOKUP(C419,Courses!$A$1:$C$11,3,FALSE)</f>
        <v>4</v>
      </c>
    </row>
    <row r="420" spans="1:10">
      <c r="A420" t="s">
        <v>625</v>
      </c>
      <c r="B420" t="s">
        <v>19</v>
      </c>
      <c r="C420" t="s">
        <v>142</v>
      </c>
      <c r="D420">
        <v>10</v>
      </c>
      <c r="E420" t="s">
        <v>201</v>
      </c>
      <c r="F420" t="str">
        <f>VLOOKUP(B420,Students!$A$1:$C$101,2,FALSE)</f>
        <v>Sara Khan</v>
      </c>
      <c r="G420" t="str">
        <f>VLOOKUP(B420,Students!$A$1:$C$101,3,FALSE)</f>
        <v>M</v>
      </c>
      <c r="H420" t="str">
        <f>VLOOKUP(C420,Courses!$A$1:$B$11,2,FALSE)</f>
        <v>Digital Logic</v>
      </c>
      <c r="I420" t="str">
        <f>VLOOKUP(B420,Students!$A$1:$E$101,5,0)</f>
        <v>Management</v>
      </c>
      <c r="J420">
        <f>VLOOKUP(C420,Courses!$A$1:$C$11,3,FALSE)</f>
        <v>3</v>
      </c>
    </row>
    <row r="421" spans="1:10">
      <c r="A421" t="s">
        <v>626</v>
      </c>
      <c r="B421" t="s">
        <v>72</v>
      </c>
      <c r="C421" t="s">
        <v>146</v>
      </c>
      <c r="D421">
        <v>6</v>
      </c>
      <c r="E421" t="s">
        <v>204</v>
      </c>
      <c r="F421" t="str">
        <f>VLOOKUP(B421,Students!$A$1:$C$101,2,FALSE)</f>
        <v>Nisha Gupta</v>
      </c>
      <c r="G421" t="str">
        <f>VLOOKUP(B421,Students!$A$1:$C$101,3,FALSE)</f>
        <v>F</v>
      </c>
      <c r="H421" t="str">
        <f>VLOOKUP(C421,Courses!$A$1:$B$11,2,FALSE)</f>
        <v>Marketing</v>
      </c>
      <c r="I421" t="str">
        <f>VLOOKUP(B421,Students!$A$1:$E$101,5,0)</f>
        <v>Management</v>
      </c>
      <c r="J421">
        <f>VLOOKUP(C421,Courses!$A$1:$C$11,3,FALSE)</f>
        <v>3</v>
      </c>
    </row>
    <row r="422" spans="1:10">
      <c r="A422" t="s">
        <v>627</v>
      </c>
      <c r="B422" t="s">
        <v>76</v>
      </c>
      <c r="C422" t="s">
        <v>146</v>
      </c>
      <c r="D422">
        <v>4</v>
      </c>
      <c r="E422" t="s">
        <v>210</v>
      </c>
      <c r="F422" t="str">
        <f>VLOOKUP(B422,Students!$A$1:$C$101,2,FALSE)</f>
        <v>Emily Davis</v>
      </c>
      <c r="G422" t="str">
        <f>VLOOKUP(B422,Students!$A$1:$C$101,3,FALSE)</f>
        <v>M</v>
      </c>
      <c r="H422" t="str">
        <f>VLOOKUP(C422,Courses!$A$1:$B$11,2,FALSE)</f>
        <v>Marketing</v>
      </c>
      <c r="I422" t="str">
        <f>VLOOKUP(B422,Students!$A$1:$E$101,5,0)</f>
        <v>Computer Sci</v>
      </c>
      <c r="J422">
        <f>VLOOKUP(C422,Courses!$A$1:$C$11,3,FALSE)</f>
        <v>3</v>
      </c>
    </row>
    <row r="423" spans="1:10">
      <c r="A423" t="s">
        <v>628</v>
      </c>
      <c r="B423" t="s">
        <v>106</v>
      </c>
      <c r="C423" t="s">
        <v>148</v>
      </c>
      <c r="D423">
        <v>10</v>
      </c>
      <c r="E423" t="s">
        <v>201</v>
      </c>
      <c r="F423" t="str">
        <f>VLOOKUP(B423,Students!$A$1:$C$101,2,FALSE)</f>
        <v>Sneha Patil</v>
      </c>
      <c r="G423" t="str">
        <f>VLOOKUP(B423,Students!$A$1:$C$101,3,FALSE)</f>
        <v>F</v>
      </c>
      <c r="H423" t="str">
        <f>VLOOKUP(C423,Courses!$A$1:$B$11,2,FALSE)</f>
        <v>Finance</v>
      </c>
      <c r="I423" t="str">
        <f>VLOOKUP(B423,Students!$A$1:$E$101,5,0)</f>
        <v>Electronics</v>
      </c>
      <c r="J423">
        <f>VLOOKUP(C423,Courses!$A$1:$C$11,3,FALSE)</f>
        <v>4</v>
      </c>
    </row>
    <row r="424" spans="1:10">
      <c r="A424" t="s">
        <v>629</v>
      </c>
      <c r="B424" t="s">
        <v>33</v>
      </c>
      <c r="C424" t="s">
        <v>142</v>
      </c>
      <c r="D424">
        <v>6</v>
      </c>
      <c r="E424" t="s">
        <v>210</v>
      </c>
      <c r="F424" t="str">
        <f>VLOOKUP(B424,Students!$A$1:$C$101,2,FALSE)</f>
        <v>Emily Davis</v>
      </c>
      <c r="G424" t="str">
        <f>VLOOKUP(B424,Students!$A$1:$C$101,3,FALSE)</f>
        <v>F</v>
      </c>
      <c r="H424" t="str">
        <f>VLOOKUP(C424,Courses!$A$1:$B$11,2,FALSE)</f>
        <v>Digital Logic</v>
      </c>
      <c r="I424" t="str">
        <f>VLOOKUP(B424,Students!$A$1:$E$101,5,0)</f>
        <v>Management</v>
      </c>
      <c r="J424">
        <f>VLOOKUP(C424,Courses!$A$1:$C$11,3,FALSE)</f>
        <v>3</v>
      </c>
    </row>
    <row r="425" spans="1:10">
      <c r="A425" t="s">
        <v>630</v>
      </c>
      <c r="B425" t="s">
        <v>98</v>
      </c>
      <c r="C425" t="s">
        <v>140</v>
      </c>
      <c r="D425">
        <v>8</v>
      </c>
      <c r="E425" t="s">
        <v>201</v>
      </c>
      <c r="F425" t="str">
        <f>VLOOKUP(B425,Students!$A$1:$C$101,2,FALSE)</f>
        <v>Emily Davis</v>
      </c>
      <c r="G425" t="str">
        <f>VLOOKUP(B425,Students!$A$1:$C$101,3,FALSE)</f>
        <v>M</v>
      </c>
      <c r="H425" t="str">
        <f>VLOOKUP(C425,Courses!$A$1:$B$11,2,FALSE)</f>
        <v>Fluid Mechanics</v>
      </c>
      <c r="I425" t="str">
        <f>VLOOKUP(B425,Students!$A$1:$E$101,5,0)</f>
        <v>Computer Sci</v>
      </c>
      <c r="J425">
        <f>VLOOKUP(C425,Courses!$A$1:$C$11,3,FALSE)</f>
        <v>4</v>
      </c>
    </row>
    <row r="426" spans="1:10">
      <c r="A426" t="s">
        <v>631</v>
      </c>
      <c r="B426" t="s">
        <v>104</v>
      </c>
      <c r="C426" t="s">
        <v>146</v>
      </c>
      <c r="D426">
        <v>4</v>
      </c>
      <c r="E426" t="s">
        <v>204</v>
      </c>
      <c r="F426" t="str">
        <f>VLOOKUP(B426,Students!$A$1:$C$101,2,FALSE)</f>
        <v>Amit Kumar</v>
      </c>
      <c r="G426" t="str">
        <f>VLOOKUP(B426,Students!$A$1:$C$101,3,FALSE)</f>
        <v>M</v>
      </c>
      <c r="H426" t="str">
        <f>VLOOKUP(C426,Courses!$A$1:$B$11,2,FALSE)</f>
        <v>Marketing</v>
      </c>
      <c r="I426" t="str">
        <f>VLOOKUP(B426,Students!$A$1:$E$101,5,0)</f>
        <v>Civil</v>
      </c>
      <c r="J426">
        <f>VLOOKUP(C426,Courses!$A$1:$C$11,3,FALSE)</f>
        <v>3</v>
      </c>
    </row>
    <row r="427" spans="1:10">
      <c r="A427" t="s">
        <v>632</v>
      </c>
      <c r="B427" t="s">
        <v>19</v>
      </c>
      <c r="C427" t="s">
        <v>130</v>
      </c>
      <c r="D427">
        <v>8</v>
      </c>
      <c r="E427" t="s">
        <v>210</v>
      </c>
      <c r="F427" t="str">
        <f>VLOOKUP(B427,Students!$A$1:$C$101,2,FALSE)</f>
        <v>Sara Khan</v>
      </c>
      <c r="G427" t="str">
        <f>VLOOKUP(B427,Students!$A$1:$C$101,3,FALSE)</f>
        <v>M</v>
      </c>
      <c r="H427" t="str">
        <f>VLOOKUP(C427,Courses!$A$1:$B$11,2,FALSE)</f>
        <v>Data Structures</v>
      </c>
      <c r="I427" t="str">
        <f>VLOOKUP(B427,Students!$A$1:$E$101,5,0)</f>
        <v>Management</v>
      </c>
      <c r="J427">
        <f>VLOOKUP(C427,Courses!$A$1:$C$11,3,FALSE)</f>
        <v>3</v>
      </c>
    </row>
    <row r="428" spans="1:10">
      <c r="A428" t="s">
        <v>633</v>
      </c>
      <c r="B428" t="s">
        <v>87</v>
      </c>
      <c r="C428" t="s">
        <v>146</v>
      </c>
      <c r="D428">
        <v>4</v>
      </c>
      <c r="E428" t="s">
        <v>201</v>
      </c>
      <c r="F428" t="str">
        <f>VLOOKUP(B428,Students!$A$1:$C$101,2,FALSE)</f>
        <v>Sara Khan</v>
      </c>
      <c r="G428" t="str">
        <f>VLOOKUP(B428,Students!$A$1:$C$101,3,FALSE)</f>
        <v>M</v>
      </c>
      <c r="H428" t="str">
        <f>VLOOKUP(C428,Courses!$A$1:$B$11,2,FALSE)</f>
        <v>Marketing</v>
      </c>
      <c r="I428" t="str">
        <f>VLOOKUP(B428,Students!$A$1:$E$101,5,0)</f>
        <v>Civil</v>
      </c>
      <c r="J428">
        <f>VLOOKUP(C428,Courses!$A$1:$C$11,3,FALSE)</f>
        <v>3</v>
      </c>
    </row>
    <row r="429" spans="1:10">
      <c r="A429" t="s">
        <v>634</v>
      </c>
      <c r="B429" t="s">
        <v>104</v>
      </c>
      <c r="C429" t="s">
        <v>146</v>
      </c>
      <c r="D429">
        <v>8</v>
      </c>
      <c r="E429" t="s">
        <v>210</v>
      </c>
      <c r="F429" t="str">
        <f>VLOOKUP(B429,Students!$A$1:$C$101,2,FALSE)</f>
        <v>Amit Kumar</v>
      </c>
      <c r="G429" t="str">
        <f>VLOOKUP(B429,Students!$A$1:$C$101,3,FALSE)</f>
        <v>M</v>
      </c>
      <c r="H429" t="str">
        <f>VLOOKUP(C429,Courses!$A$1:$B$11,2,FALSE)</f>
        <v>Marketing</v>
      </c>
      <c r="I429" t="str">
        <f>VLOOKUP(B429,Students!$A$1:$E$101,5,0)</f>
        <v>Civil</v>
      </c>
      <c r="J429">
        <f>VLOOKUP(C429,Courses!$A$1:$C$11,3,FALSE)</f>
        <v>3</v>
      </c>
    </row>
    <row r="430" spans="1:10">
      <c r="A430" t="s">
        <v>635</v>
      </c>
      <c r="B430" t="s">
        <v>105</v>
      </c>
      <c r="C430" t="s">
        <v>140</v>
      </c>
      <c r="D430">
        <v>8</v>
      </c>
      <c r="E430" t="s">
        <v>207</v>
      </c>
      <c r="F430" t="str">
        <f>VLOOKUP(B430,Students!$A$1:$C$101,2,FALSE)</f>
        <v>Raj Mehta</v>
      </c>
      <c r="G430" t="str">
        <f>VLOOKUP(B430,Students!$A$1:$C$101,3,FALSE)</f>
        <v>M</v>
      </c>
      <c r="H430" t="str">
        <f>VLOOKUP(C430,Courses!$A$1:$B$11,2,FALSE)</f>
        <v>Fluid Mechanics</v>
      </c>
      <c r="I430" t="str">
        <f>VLOOKUP(B430,Students!$A$1:$E$101,5,0)</f>
        <v>Management</v>
      </c>
      <c r="J430">
        <f>VLOOKUP(C430,Courses!$A$1:$C$11,3,FALSE)</f>
        <v>4</v>
      </c>
    </row>
    <row r="431" spans="1:10">
      <c r="A431" t="s">
        <v>636</v>
      </c>
      <c r="B431" t="s">
        <v>105</v>
      </c>
      <c r="C431" t="s">
        <v>138</v>
      </c>
      <c r="D431">
        <v>0</v>
      </c>
      <c r="E431" t="s">
        <v>210</v>
      </c>
      <c r="F431" t="str">
        <f>VLOOKUP(B431,Students!$A$1:$C$101,2,FALSE)</f>
        <v>Raj Mehta</v>
      </c>
      <c r="G431" t="str">
        <f>VLOOKUP(B431,Students!$A$1:$C$101,3,FALSE)</f>
        <v>M</v>
      </c>
      <c r="H431" t="str">
        <f>VLOOKUP(C431,Courses!$A$1:$B$11,2,FALSE)</f>
        <v>AI &amp; ML</v>
      </c>
      <c r="I431" t="str">
        <f>VLOOKUP(B431,Students!$A$1:$E$101,5,0)</f>
        <v>Management</v>
      </c>
      <c r="J431">
        <f>VLOOKUP(C431,Courses!$A$1:$C$11,3,FALSE)</f>
        <v>3</v>
      </c>
    </row>
    <row r="432" spans="1:10">
      <c r="A432" t="s">
        <v>637</v>
      </c>
      <c r="B432" t="s">
        <v>91</v>
      </c>
      <c r="C432" t="s">
        <v>146</v>
      </c>
      <c r="D432">
        <v>0</v>
      </c>
      <c r="E432" t="s">
        <v>207</v>
      </c>
      <c r="F432" t="str">
        <f>VLOOKUP(B432,Students!$A$1:$C$101,2,FALSE)</f>
        <v>Michael Brown</v>
      </c>
      <c r="G432" t="str">
        <f>VLOOKUP(B432,Students!$A$1:$C$101,3,FALSE)</f>
        <v>F</v>
      </c>
      <c r="H432" t="str">
        <f>VLOOKUP(C432,Courses!$A$1:$B$11,2,FALSE)</f>
        <v>Marketing</v>
      </c>
      <c r="I432" t="str">
        <f>VLOOKUP(B432,Students!$A$1:$E$101,5,0)</f>
        <v>Civil</v>
      </c>
      <c r="J432">
        <f>VLOOKUP(C432,Courses!$A$1:$C$11,3,FALSE)</f>
        <v>3</v>
      </c>
    </row>
    <row r="433" spans="1:10">
      <c r="A433" t="s">
        <v>638</v>
      </c>
      <c r="B433" t="s">
        <v>117</v>
      </c>
      <c r="C433" t="s">
        <v>148</v>
      </c>
      <c r="D433">
        <v>6</v>
      </c>
      <c r="E433" t="s">
        <v>207</v>
      </c>
      <c r="F433" t="str">
        <f>VLOOKUP(B433,Students!$A$1:$C$101,2,FALSE)</f>
        <v>Chris Evans</v>
      </c>
      <c r="G433" t="str">
        <f>VLOOKUP(B433,Students!$A$1:$C$101,3,FALSE)</f>
        <v>F</v>
      </c>
      <c r="H433" t="str">
        <f>VLOOKUP(C433,Courses!$A$1:$B$11,2,FALSE)</f>
        <v>Finance</v>
      </c>
      <c r="I433" t="str">
        <f>VLOOKUP(B433,Students!$A$1:$E$101,5,0)</f>
        <v>Management</v>
      </c>
      <c r="J433">
        <f>VLOOKUP(C433,Courses!$A$1:$C$11,3,FALSE)</f>
        <v>4</v>
      </c>
    </row>
    <row r="434" spans="1:10">
      <c r="A434" t="s">
        <v>639</v>
      </c>
      <c r="B434" t="s">
        <v>12</v>
      </c>
      <c r="C434" t="s">
        <v>140</v>
      </c>
      <c r="D434">
        <v>6</v>
      </c>
      <c r="E434" t="s">
        <v>204</v>
      </c>
      <c r="F434" t="str">
        <f>VLOOKUP(B434,Students!$A$1:$C$101,2,FALSE)</f>
        <v>Nisha Gupta</v>
      </c>
      <c r="G434" t="str">
        <f>VLOOKUP(B434,Students!$A$1:$C$101,3,FALSE)</f>
        <v>M</v>
      </c>
      <c r="H434" t="str">
        <f>VLOOKUP(C434,Courses!$A$1:$B$11,2,FALSE)</f>
        <v>Fluid Mechanics</v>
      </c>
      <c r="I434" t="str">
        <f>VLOOKUP(B434,Students!$A$1:$E$101,5,0)</f>
        <v>Computer Sci</v>
      </c>
      <c r="J434">
        <f>VLOOKUP(C434,Courses!$A$1:$C$11,3,FALSE)</f>
        <v>4</v>
      </c>
    </row>
    <row r="435" spans="1:10">
      <c r="A435" t="s">
        <v>640</v>
      </c>
      <c r="B435" t="s">
        <v>80</v>
      </c>
      <c r="C435" t="s">
        <v>148</v>
      </c>
      <c r="D435">
        <v>6</v>
      </c>
      <c r="E435" t="s">
        <v>204</v>
      </c>
      <c r="F435" t="str">
        <f>VLOOKUP(B435,Students!$A$1:$C$101,2,FALSE)</f>
        <v>Sneha Patil</v>
      </c>
      <c r="G435" t="str">
        <f>VLOOKUP(B435,Students!$A$1:$C$101,3,FALSE)</f>
        <v>M</v>
      </c>
      <c r="H435" t="str">
        <f>VLOOKUP(C435,Courses!$A$1:$B$11,2,FALSE)</f>
        <v>Finance</v>
      </c>
      <c r="I435" t="str">
        <f>VLOOKUP(B435,Students!$A$1:$E$101,5,0)</f>
        <v>Mechanical</v>
      </c>
      <c r="J435">
        <f>VLOOKUP(C435,Courses!$A$1:$C$11,3,FALSE)</f>
        <v>4</v>
      </c>
    </row>
    <row r="436" spans="1:10">
      <c r="A436" t="s">
        <v>641</v>
      </c>
      <c r="B436" t="s">
        <v>103</v>
      </c>
      <c r="C436" t="s">
        <v>144</v>
      </c>
      <c r="D436">
        <v>6</v>
      </c>
      <c r="E436" t="s">
        <v>201</v>
      </c>
      <c r="F436" t="str">
        <f>VLOOKUP(B436,Students!$A$1:$C$101,2,FALSE)</f>
        <v>Sara Khan</v>
      </c>
      <c r="G436" t="str">
        <f>VLOOKUP(B436,Students!$A$1:$C$101,3,FALSE)</f>
        <v>M</v>
      </c>
      <c r="H436" t="str">
        <f>VLOOKUP(C436,Courses!$A$1:$B$11,2,FALSE)</f>
        <v>Structural Analysis</v>
      </c>
      <c r="I436" t="str">
        <f>VLOOKUP(B436,Students!$A$1:$E$101,5,0)</f>
        <v>Civil</v>
      </c>
      <c r="J436">
        <f>VLOOKUP(C436,Courses!$A$1:$C$11,3,FALSE)</f>
        <v>4</v>
      </c>
    </row>
    <row r="437" spans="1:10">
      <c r="A437" t="s">
        <v>642</v>
      </c>
      <c r="B437" t="s">
        <v>119</v>
      </c>
      <c r="C437" t="s">
        <v>130</v>
      </c>
      <c r="D437">
        <v>0</v>
      </c>
      <c r="E437" t="s">
        <v>207</v>
      </c>
      <c r="F437" t="str">
        <f>VLOOKUP(B437,Students!$A$1:$C$101,2,FALSE)</f>
        <v>Emily Davis</v>
      </c>
      <c r="G437" t="str">
        <f>VLOOKUP(B437,Students!$A$1:$C$101,3,FALSE)</f>
        <v>M</v>
      </c>
      <c r="H437" t="str">
        <f>VLOOKUP(C437,Courses!$A$1:$B$11,2,FALSE)</f>
        <v>Data Structures</v>
      </c>
      <c r="I437" t="str">
        <f>VLOOKUP(B437,Students!$A$1:$E$101,5,0)</f>
        <v>Management</v>
      </c>
      <c r="J437">
        <f>VLOOKUP(C437,Courses!$A$1:$C$11,3,FALSE)</f>
        <v>3</v>
      </c>
    </row>
    <row r="438" spans="1:10">
      <c r="A438" t="s">
        <v>643</v>
      </c>
      <c r="B438" t="s">
        <v>44</v>
      </c>
      <c r="C438" t="s">
        <v>146</v>
      </c>
      <c r="D438">
        <v>0</v>
      </c>
      <c r="E438" t="s">
        <v>207</v>
      </c>
      <c r="F438" t="str">
        <f>VLOOKUP(B438,Students!$A$1:$C$101,2,FALSE)</f>
        <v>Sophia Wilson</v>
      </c>
      <c r="G438" t="str">
        <f>VLOOKUP(B438,Students!$A$1:$C$101,3,FALSE)</f>
        <v>M</v>
      </c>
      <c r="H438" t="str">
        <f>VLOOKUP(C438,Courses!$A$1:$B$11,2,FALSE)</f>
        <v>Marketing</v>
      </c>
      <c r="I438" t="str">
        <f>VLOOKUP(B438,Students!$A$1:$E$101,5,0)</f>
        <v>Civil</v>
      </c>
      <c r="J438">
        <f>VLOOKUP(C438,Courses!$A$1:$C$11,3,FALSE)</f>
        <v>3</v>
      </c>
    </row>
    <row r="439" spans="1:10">
      <c r="A439" t="s">
        <v>644</v>
      </c>
      <c r="B439" t="s">
        <v>41</v>
      </c>
      <c r="C439" t="s">
        <v>136</v>
      </c>
      <c r="D439">
        <v>10</v>
      </c>
      <c r="E439" t="s">
        <v>204</v>
      </c>
      <c r="F439" t="str">
        <f>VLOOKUP(B439,Students!$A$1:$C$101,2,FALSE)</f>
        <v>Raj Mehta</v>
      </c>
      <c r="G439" t="str">
        <f>VLOOKUP(B439,Students!$A$1:$C$101,3,FALSE)</f>
        <v>M</v>
      </c>
      <c r="H439" t="str">
        <f>VLOOKUP(C439,Courses!$A$1:$B$11,2,FALSE)</f>
        <v>Circuits</v>
      </c>
      <c r="I439" t="str">
        <f>VLOOKUP(B439,Students!$A$1:$E$101,5,0)</f>
        <v>Mechanical</v>
      </c>
      <c r="J439">
        <f>VLOOKUP(C439,Courses!$A$1:$C$11,3,FALSE)</f>
        <v>4</v>
      </c>
    </row>
    <row r="440" spans="1:10">
      <c r="A440" t="s">
        <v>645</v>
      </c>
      <c r="B440" t="s">
        <v>48</v>
      </c>
      <c r="C440" t="s">
        <v>130</v>
      </c>
      <c r="D440">
        <v>4</v>
      </c>
      <c r="E440" t="s">
        <v>210</v>
      </c>
      <c r="F440" t="str">
        <f>VLOOKUP(B440,Students!$A$1:$C$101,2,FALSE)</f>
        <v>Sara Khan</v>
      </c>
      <c r="G440" t="str">
        <f>VLOOKUP(B440,Students!$A$1:$C$101,3,FALSE)</f>
        <v>F</v>
      </c>
      <c r="H440" t="str">
        <f>VLOOKUP(C440,Courses!$A$1:$B$11,2,FALSE)</f>
        <v>Data Structures</v>
      </c>
      <c r="I440" t="str">
        <f>VLOOKUP(B440,Students!$A$1:$E$101,5,0)</f>
        <v>Electronics</v>
      </c>
      <c r="J440">
        <f>VLOOKUP(C440,Courses!$A$1:$C$11,3,FALSE)</f>
        <v>3</v>
      </c>
    </row>
    <row r="441" spans="1:10">
      <c r="A441" t="s">
        <v>646</v>
      </c>
      <c r="B441" t="s">
        <v>80</v>
      </c>
      <c r="C441" t="s">
        <v>134</v>
      </c>
      <c r="D441">
        <v>4</v>
      </c>
      <c r="E441" t="s">
        <v>201</v>
      </c>
      <c r="F441" t="str">
        <f>VLOOKUP(B441,Students!$A$1:$C$101,2,FALSE)</f>
        <v>Sneha Patil</v>
      </c>
      <c r="G441" t="str">
        <f>VLOOKUP(B441,Students!$A$1:$C$101,3,FALSE)</f>
        <v>M</v>
      </c>
      <c r="H441" t="str">
        <f>VLOOKUP(C441,Courses!$A$1:$B$11,2,FALSE)</f>
        <v>Thermodynamics</v>
      </c>
      <c r="I441" t="str">
        <f>VLOOKUP(B441,Students!$A$1:$E$101,5,0)</f>
        <v>Mechanical</v>
      </c>
      <c r="J441">
        <f>VLOOKUP(C441,Courses!$A$1:$C$11,3,FALSE)</f>
        <v>3</v>
      </c>
    </row>
    <row r="442" spans="1:10">
      <c r="A442" t="s">
        <v>647</v>
      </c>
      <c r="B442" t="s">
        <v>79</v>
      </c>
      <c r="C442" t="s">
        <v>146</v>
      </c>
      <c r="D442">
        <v>0</v>
      </c>
      <c r="E442" t="s">
        <v>207</v>
      </c>
      <c r="F442" t="str">
        <f>VLOOKUP(B442,Students!$A$1:$C$101,2,FALSE)</f>
        <v>Emily Davis</v>
      </c>
      <c r="G442" t="str">
        <f>VLOOKUP(B442,Students!$A$1:$C$101,3,FALSE)</f>
        <v>M</v>
      </c>
      <c r="H442" t="str">
        <f>VLOOKUP(C442,Courses!$A$1:$B$11,2,FALSE)</f>
        <v>Marketing</v>
      </c>
      <c r="I442" t="str">
        <f>VLOOKUP(B442,Students!$A$1:$E$101,5,0)</f>
        <v>Civil</v>
      </c>
      <c r="J442">
        <f>VLOOKUP(C442,Courses!$A$1:$C$11,3,FALSE)</f>
        <v>3</v>
      </c>
    </row>
    <row r="443" spans="1:10">
      <c r="A443" t="s">
        <v>648</v>
      </c>
      <c r="B443" t="s">
        <v>121</v>
      </c>
      <c r="C443" t="s">
        <v>130</v>
      </c>
      <c r="D443">
        <v>8</v>
      </c>
      <c r="E443" t="s">
        <v>201</v>
      </c>
      <c r="F443" t="str">
        <f>VLOOKUP(B443,Students!$A$1:$C$101,2,FALSE)</f>
        <v>Ankit Sharma</v>
      </c>
      <c r="G443" t="str">
        <f>VLOOKUP(B443,Students!$A$1:$C$101,3,FALSE)</f>
        <v>F</v>
      </c>
      <c r="H443" t="str">
        <f>VLOOKUP(C443,Courses!$A$1:$B$11,2,FALSE)</f>
        <v>Data Structures</v>
      </c>
      <c r="I443" t="str">
        <f>VLOOKUP(B443,Students!$A$1:$E$101,5,0)</f>
        <v>Computer Sci</v>
      </c>
      <c r="J443">
        <f>VLOOKUP(C443,Courses!$A$1:$C$11,3,FALSE)</f>
        <v>3</v>
      </c>
    </row>
    <row r="444" spans="1:10">
      <c r="A444" t="s">
        <v>649</v>
      </c>
      <c r="B444" t="s">
        <v>98</v>
      </c>
      <c r="C444" t="s">
        <v>140</v>
      </c>
      <c r="D444">
        <v>4</v>
      </c>
      <c r="E444" t="s">
        <v>207</v>
      </c>
      <c r="F444" t="str">
        <f>VLOOKUP(B444,Students!$A$1:$C$101,2,FALSE)</f>
        <v>Emily Davis</v>
      </c>
      <c r="G444" t="str">
        <f>VLOOKUP(B444,Students!$A$1:$C$101,3,FALSE)</f>
        <v>M</v>
      </c>
      <c r="H444" t="str">
        <f>VLOOKUP(C444,Courses!$A$1:$B$11,2,FALSE)</f>
        <v>Fluid Mechanics</v>
      </c>
      <c r="I444" t="str">
        <f>VLOOKUP(B444,Students!$A$1:$E$101,5,0)</f>
        <v>Computer Sci</v>
      </c>
      <c r="J444">
        <f>VLOOKUP(C444,Courses!$A$1:$C$11,3,FALSE)</f>
        <v>4</v>
      </c>
    </row>
    <row r="445" spans="1:10">
      <c r="A445" t="s">
        <v>650</v>
      </c>
      <c r="B445" t="s">
        <v>65</v>
      </c>
      <c r="C445" t="s">
        <v>134</v>
      </c>
      <c r="D445">
        <v>4</v>
      </c>
      <c r="E445" t="s">
        <v>210</v>
      </c>
      <c r="F445" t="str">
        <f>VLOOKUP(B445,Students!$A$1:$C$101,2,FALSE)</f>
        <v>Ankit Sharma</v>
      </c>
      <c r="G445" t="str">
        <f>VLOOKUP(B445,Students!$A$1:$C$101,3,FALSE)</f>
        <v>M</v>
      </c>
      <c r="H445" t="str">
        <f>VLOOKUP(C445,Courses!$A$1:$B$11,2,FALSE)</f>
        <v>Thermodynamics</v>
      </c>
      <c r="I445" t="str">
        <f>VLOOKUP(B445,Students!$A$1:$E$101,5,0)</f>
        <v>Computer Sci</v>
      </c>
      <c r="J445">
        <f>VLOOKUP(C445,Courses!$A$1:$C$11,3,FALSE)</f>
        <v>3</v>
      </c>
    </row>
    <row r="446" spans="1:10">
      <c r="A446" t="s">
        <v>651</v>
      </c>
      <c r="B446" t="s">
        <v>96</v>
      </c>
      <c r="C446" t="s">
        <v>140</v>
      </c>
      <c r="D446">
        <v>6</v>
      </c>
      <c r="E446" t="s">
        <v>207</v>
      </c>
      <c r="F446" t="str">
        <f>VLOOKUP(B446,Students!$A$1:$C$101,2,FALSE)</f>
        <v>Raj Mehta</v>
      </c>
      <c r="G446" t="str">
        <f>VLOOKUP(B446,Students!$A$1:$C$101,3,FALSE)</f>
        <v>M</v>
      </c>
      <c r="H446" t="str">
        <f>VLOOKUP(C446,Courses!$A$1:$B$11,2,FALSE)</f>
        <v>Fluid Mechanics</v>
      </c>
      <c r="I446" t="str">
        <f>VLOOKUP(B446,Students!$A$1:$E$101,5,0)</f>
        <v>Computer Sci</v>
      </c>
      <c r="J446">
        <f>VLOOKUP(C446,Courses!$A$1:$C$11,3,FALSE)</f>
        <v>4</v>
      </c>
    </row>
    <row r="447" spans="1:10">
      <c r="A447" t="s">
        <v>652</v>
      </c>
      <c r="B447" t="s">
        <v>48</v>
      </c>
      <c r="C447" t="s">
        <v>136</v>
      </c>
      <c r="D447">
        <v>6</v>
      </c>
      <c r="E447" t="s">
        <v>210</v>
      </c>
      <c r="F447" t="str">
        <f>VLOOKUP(B447,Students!$A$1:$C$101,2,FALSE)</f>
        <v>Sara Khan</v>
      </c>
      <c r="G447" t="str">
        <f>VLOOKUP(B447,Students!$A$1:$C$101,3,FALSE)</f>
        <v>F</v>
      </c>
      <c r="H447" t="str">
        <f>VLOOKUP(C447,Courses!$A$1:$B$11,2,FALSE)</f>
        <v>Circuits</v>
      </c>
      <c r="I447" t="str">
        <f>VLOOKUP(B447,Students!$A$1:$E$101,5,0)</f>
        <v>Electronics</v>
      </c>
      <c r="J447">
        <f>VLOOKUP(C447,Courses!$A$1:$C$11,3,FALSE)</f>
        <v>4</v>
      </c>
    </row>
    <row r="448" spans="1:10">
      <c r="A448" t="s">
        <v>653</v>
      </c>
      <c r="B448" t="s">
        <v>53</v>
      </c>
      <c r="C448" t="s">
        <v>138</v>
      </c>
      <c r="D448">
        <v>6</v>
      </c>
      <c r="E448" t="s">
        <v>201</v>
      </c>
      <c r="F448" t="str">
        <f>VLOOKUP(B448,Students!$A$1:$C$101,2,FALSE)</f>
        <v>Sophia Wilson</v>
      </c>
      <c r="G448" t="str">
        <f>VLOOKUP(B448,Students!$A$1:$C$101,3,FALSE)</f>
        <v>M</v>
      </c>
      <c r="H448" t="str">
        <f>VLOOKUP(C448,Courses!$A$1:$B$11,2,FALSE)</f>
        <v>AI &amp; ML</v>
      </c>
      <c r="I448" t="str">
        <f>VLOOKUP(B448,Students!$A$1:$E$101,5,0)</f>
        <v>Mechanical</v>
      </c>
      <c r="J448">
        <f>VLOOKUP(C448,Courses!$A$1:$C$11,3,FALSE)</f>
        <v>3</v>
      </c>
    </row>
    <row r="449" spans="1:10">
      <c r="A449" t="s">
        <v>654</v>
      </c>
      <c r="B449" t="s">
        <v>115</v>
      </c>
      <c r="C449" t="s">
        <v>144</v>
      </c>
      <c r="D449">
        <v>6</v>
      </c>
      <c r="E449" t="s">
        <v>207</v>
      </c>
      <c r="F449" t="str">
        <f>VLOOKUP(B449,Students!$A$1:$C$101,2,FALSE)</f>
        <v>Sophia Wilson</v>
      </c>
      <c r="G449" t="str">
        <f>VLOOKUP(B449,Students!$A$1:$C$101,3,FALSE)</f>
        <v>F</v>
      </c>
      <c r="H449" t="str">
        <f>VLOOKUP(C449,Courses!$A$1:$B$11,2,FALSE)</f>
        <v>Structural Analysis</v>
      </c>
      <c r="I449" t="str">
        <f>VLOOKUP(B449,Students!$A$1:$E$101,5,0)</f>
        <v>Computer Sci</v>
      </c>
      <c r="J449">
        <f>VLOOKUP(C449,Courses!$A$1:$C$11,3,FALSE)</f>
        <v>4</v>
      </c>
    </row>
    <row r="450" spans="1:10">
      <c r="A450" t="s">
        <v>655</v>
      </c>
      <c r="B450" t="s">
        <v>70</v>
      </c>
      <c r="C450" t="s">
        <v>146</v>
      </c>
      <c r="D450">
        <v>6</v>
      </c>
      <c r="E450" t="s">
        <v>210</v>
      </c>
      <c r="F450" t="str">
        <f>VLOOKUP(B450,Students!$A$1:$C$101,2,FALSE)</f>
        <v>Sophia Wilson</v>
      </c>
      <c r="G450" t="str">
        <f>VLOOKUP(B450,Students!$A$1:$C$101,3,FALSE)</f>
        <v>F</v>
      </c>
      <c r="H450" t="str">
        <f>VLOOKUP(C450,Courses!$A$1:$B$11,2,FALSE)</f>
        <v>Marketing</v>
      </c>
      <c r="I450" t="str">
        <f>VLOOKUP(B450,Students!$A$1:$E$101,5,0)</f>
        <v>Management</v>
      </c>
      <c r="J450">
        <f>VLOOKUP(C450,Courses!$A$1:$C$11,3,FALSE)</f>
        <v>3</v>
      </c>
    </row>
    <row r="451" spans="1:10">
      <c r="A451" t="s">
        <v>656</v>
      </c>
      <c r="B451" t="s">
        <v>36</v>
      </c>
      <c r="C451" t="s">
        <v>148</v>
      </c>
      <c r="D451">
        <v>0</v>
      </c>
      <c r="E451" t="s">
        <v>207</v>
      </c>
      <c r="F451" t="str">
        <f>VLOOKUP(B451,Students!$A$1:$C$101,2,FALSE)</f>
        <v>Sophia Wilson</v>
      </c>
      <c r="G451" t="str">
        <f>VLOOKUP(B451,Students!$A$1:$C$101,3,FALSE)</f>
        <v>M</v>
      </c>
      <c r="H451" t="str">
        <f>VLOOKUP(C451,Courses!$A$1:$B$11,2,FALSE)</f>
        <v>Finance</v>
      </c>
      <c r="I451" t="str">
        <f>VLOOKUP(B451,Students!$A$1:$E$101,5,0)</f>
        <v>Electronics</v>
      </c>
      <c r="J451">
        <f>VLOOKUP(C451,Courses!$A$1:$C$11,3,FALSE)</f>
        <v>4</v>
      </c>
    </row>
    <row r="452" spans="1:10">
      <c r="A452" t="s">
        <v>657</v>
      </c>
      <c r="B452" t="s">
        <v>77</v>
      </c>
      <c r="C452" t="s">
        <v>140</v>
      </c>
      <c r="D452">
        <v>8</v>
      </c>
      <c r="E452" t="s">
        <v>210</v>
      </c>
      <c r="F452" t="str">
        <f>VLOOKUP(B452,Students!$A$1:$C$101,2,FALSE)</f>
        <v>Priya Verma</v>
      </c>
      <c r="G452" t="str">
        <f>VLOOKUP(B452,Students!$A$1:$C$101,3,FALSE)</f>
        <v>M</v>
      </c>
      <c r="H452" t="str">
        <f>VLOOKUP(C452,Courses!$A$1:$B$11,2,FALSE)</f>
        <v>Fluid Mechanics</v>
      </c>
      <c r="I452" t="str">
        <f>VLOOKUP(B452,Students!$A$1:$E$101,5,0)</f>
        <v>Computer Sci</v>
      </c>
      <c r="J452">
        <f>VLOOKUP(C452,Courses!$A$1:$C$11,3,FALSE)</f>
        <v>4</v>
      </c>
    </row>
    <row r="453" spans="1:10">
      <c r="A453" t="s">
        <v>658</v>
      </c>
      <c r="B453" t="s">
        <v>19</v>
      </c>
      <c r="C453" t="s">
        <v>138</v>
      </c>
      <c r="D453">
        <v>10</v>
      </c>
      <c r="E453" t="s">
        <v>210</v>
      </c>
      <c r="F453" t="str">
        <f>VLOOKUP(B453,Students!$A$1:$C$101,2,FALSE)</f>
        <v>Sara Khan</v>
      </c>
      <c r="G453" t="str">
        <f>VLOOKUP(B453,Students!$A$1:$C$101,3,FALSE)</f>
        <v>M</v>
      </c>
      <c r="H453" t="str">
        <f>VLOOKUP(C453,Courses!$A$1:$B$11,2,FALSE)</f>
        <v>AI &amp; ML</v>
      </c>
      <c r="I453" t="str">
        <f>VLOOKUP(B453,Students!$A$1:$E$101,5,0)</f>
        <v>Management</v>
      </c>
      <c r="J453">
        <f>VLOOKUP(C453,Courses!$A$1:$C$11,3,FALSE)</f>
        <v>3</v>
      </c>
    </row>
    <row r="454" spans="1:10">
      <c r="A454" t="s">
        <v>659</v>
      </c>
      <c r="B454" t="s">
        <v>83</v>
      </c>
      <c r="C454" t="s">
        <v>138</v>
      </c>
      <c r="D454">
        <v>4</v>
      </c>
      <c r="E454" t="s">
        <v>201</v>
      </c>
      <c r="F454" t="str">
        <f>VLOOKUP(B454,Students!$A$1:$C$101,2,FALSE)</f>
        <v>Sara Khan</v>
      </c>
      <c r="G454" t="str">
        <f>VLOOKUP(B454,Students!$A$1:$C$101,3,FALSE)</f>
        <v>F</v>
      </c>
      <c r="H454" t="str">
        <f>VLOOKUP(C454,Courses!$A$1:$B$11,2,FALSE)</f>
        <v>AI &amp; ML</v>
      </c>
      <c r="I454" t="str">
        <f>VLOOKUP(B454,Students!$A$1:$E$101,5,0)</f>
        <v>Computer Sci</v>
      </c>
      <c r="J454">
        <f>VLOOKUP(C454,Courses!$A$1:$C$11,3,FALSE)</f>
        <v>3</v>
      </c>
    </row>
    <row r="455" spans="1:10">
      <c r="A455" t="s">
        <v>660</v>
      </c>
      <c r="B455" t="s">
        <v>49</v>
      </c>
      <c r="C455" t="s">
        <v>146</v>
      </c>
      <c r="D455">
        <v>6</v>
      </c>
      <c r="E455" t="s">
        <v>210</v>
      </c>
      <c r="F455" t="str">
        <f>VLOOKUP(B455,Students!$A$1:$C$101,2,FALSE)</f>
        <v>John Smith</v>
      </c>
      <c r="G455" t="str">
        <f>VLOOKUP(B455,Students!$A$1:$C$101,3,FALSE)</f>
        <v>M</v>
      </c>
      <c r="H455" t="str">
        <f>VLOOKUP(C455,Courses!$A$1:$B$11,2,FALSE)</f>
        <v>Marketing</v>
      </c>
      <c r="I455" t="str">
        <f>VLOOKUP(B455,Students!$A$1:$E$101,5,0)</f>
        <v>Management</v>
      </c>
      <c r="J455">
        <f>VLOOKUP(C455,Courses!$A$1:$C$11,3,FALSE)</f>
        <v>3</v>
      </c>
    </row>
    <row r="456" spans="1:10">
      <c r="A456" t="s">
        <v>661</v>
      </c>
      <c r="B456" t="s">
        <v>40</v>
      </c>
      <c r="C456" t="s">
        <v>132</v>
      </c>
      <c r="D456">
        <v>0</v>
      </c>
      <c r="E456" t="s">
        <v>201</v>
      </c>
      <c r="F456" t="str">
        <f>VLOOKUP(B456,Students!$A$1:$C$101,2,FALSE)</f>
        <v>Amit Kumar</v>
      </c>
      <c r="G456" t="str">
        <f>VLOOKUP(B456,Students!$A$1:$C$101,3,FALSE)</f>
        <v>M</v>
      </c>
      <c r="H456" t="str">
        <f>VLOOKUP(C456,Courses!$A$1:$B$11,2,FALSE)</f>
        <v>DBMS</v>
      </c>
      <c r="I456" t="str">
        <f>VLOOKUP(B456,Students!$A$1:$E$101,5,0)</f>
        <v>Computer Sci</v>
      </c>
      <c r="J456">
        <f>VLOOKUP(C456,Courses!$A$1:$C$11,3,FALSE)</f>
        <v>4</v>
      </c>
    </row>
    <row r="457" spans="1:10">
      <c r="A457" t="s">
        <v>662</v>
      </c>
      <c r="B457" t="s">
        <v>56</v>
      </c>
      <c r="C457" t="s">
        <v>130</v>
      </c>
      <c r="D457">
        <v>0</v>
      </c>
      <c r="E457" t="s">
        <v>201</v>
      </c>
      <c r="F457" t="str">
        <f>VLOOKUP(B457,Students!$A$1:$C$101,2,FALSE)</f>
        <v>Sophia Wilson</v>
      </c>
      <c r="G457" t="str">
        <f>VLOOKUP(B457,Students!$A$1:$C$101,3,FALSE)</f>
        <v>M</v>
      </c>
      <c r="H457" t="str">
        <f>VLOOKUP(C457,Courses!$A$1:$B$11,2,FALSE)</f>
        <v>Data Structures</v>
      </c>
      <c r="I457" t="str">
        <f>VLOOKUP(B457,Students!$A$1:$E$101,5,0)</f>
        <v>Management</v>
      </c>
      <c r="J457">
        <f>VLOOKUP(C457,Courses!$A$1:$C$11,3,FALSE)</f>
        <v>3</v>
      </c>
    </row>
    <row r="458" spans="1:10">
      <c r="A458" t="s">
        <v>663</v>
      </c>
      <c r="B458" t="s">
        <v>108</v>
      </c>
      <c r="C458" t="s">
        <v>136</v>
      </c>
      <c r="D458">
        <v>10</v>
      </c>
      <c r="E458" t="s">
        <v>204</v>
      </c>
      <c r="F458" t="str">
        <f>VLOOKUP(B458,Students!$A$1:$C$101,2,FALSE)</f>
        <v>Robert Taylor</v>
      </c>
      <c r="G458" t="str">
        <f>VLOOKUP(B458,Students!$A$1:$C$101,3,FALSE)</f>
        <v>M</v>
      </c>
      <c r="H458" t="str">
        <f>VLOOKUP(C458,Courses!$A$1:$B$11,2,FALSE)</f>
        <v>Circuits</v>
      </c>
      <c r="I458" t="str">
        <f>VLOOKUP(B458,Students!$A$1:$E$101,5,0)</f>
        <v>Management</v>
      </c>
      <c r="J458">
        <f>VLOOKUP(C458,Courses!$A$1:$C$11,3,FALSE)</f>
        <v>4</v>
      </c>
    </row>
    <row r="459" spans="1:10">
      <c r="A459" t="s">
        <v>664</v>
      </c>
      <c r="B459" t="s">
        <v>79</v>
      </c>
      <c r="C459" t="s">
        <v>140</v>
      </c>
      <c r="D459">
        <v>4</v>
      </c>
      <c r="E459" t="s">
        <v>204</v>
      </c>
      <c r="F459" t="str">
        <f>VLOOKUP(B459,Students!$A$1:$C$101,2,FALSE)</f>
        <v>Emily Davis</v>
      </c>
      <c r="G459" t="str">
        <f>VLOOKUP(B459,Students!$A$1:$C$101,3,FALSE)</f>
        <v>M</v>
      </c>
      <c r="H459" t="str">
        <f>VLOOKUP(C459,Courses!$A$1:$B$11,2,FALSE)</f>
        <v>Fluid Mechanics</v>
      </c>
      <c r="I459" t="str">
        <f>VLOOKUP(B459,Students!$A$1:$E$101,5,0)</f>
        <v>Civil</v>
      </c>
      <c r="J459">
        <f>VLOOKUP(C459,Courses!$A$1:$C$11,3,FALSE)</f>
        <v>4</v>
      </c>
    </row>
    <row r="460" spans="1:10">
      <c r="A460" t="s">
        <v>665</v>
      </c>
      <c r="B460" t="s">
        <v>114</v>
      </c>
      <c r="C460" t="s">
        <v>134</v>
      </c>
      <c r="D460">
        <v>10</v>
      </c>
      <c r="E460" t="s">
        <v>201</v>
      </c>
      <c r="F460" t="str">
        <f>VLOOKUP(B460,Students!$A$1:$C$101,2,FALSE)</f>
        <v>James Clark</v>
      </c>
      <c r="G460" t="str">
        <f>VLOOKUP(B460,Students!$A$1:$C$101,3,FALSE)</f>
        <v>M</v>
      </c>
      <c r="H460" t="str">
        <f>VLOOKUP(C460,Courses!$A$1:$B$11,2,FALSE)</f>
        <v>Thermodynamics</v>
      </c>
      <c r="I460" t="str">
        <f>VLOOKUP(B460,Students!$A$1:$E$101,5,0)</f>
        <v>Civil</v>
      </c>
      <c r="J460">
        <f>VLOOKUP(C460,Courses!$A$1:$C$11,3,FALSE)</f>
        <v>3</v>
      </c>
    </row>
    <row r="461" spans="1:10">
      <c r="A461" t="s">
        <v>666</v>
      </c>
      <c r="B461" t="s">
        <v>79</v>
      </c>
      <c r="C461" t="s">
        <v>144</v>
      </c>
      <c r="D461">
        <v>4</v>
      </c>
      <c r="E461" t="s">
        <v>201</v>
      </c>
      <c r="F461" t="str">
        <f>VLOOKUP(B461,Students!$A$1:$C$101,2,FALSE)</f>
        <v>Emily Davis</v>
      </c>
      <c r="G461" t="str">
        <f>VLOOKUP(B461,Students!$A$1:$C$101,3,FALSE)</f>
        <v>M</v>
      </c>
      <c r="H461" t="str">
        <f>VLOOKUP(C461,Courses!$A$1:$B$11,2,FALSE)</f>
        <v>Structural Analysis</v>
      </c>
      <c r="I461" t="str">
        <f>VLOOKUP(B461,Students!$A$1:$E$101,5,0)</f>
        <v>Civil</v>
      </c>
      <c r="J461">
        <f>VLOOKUP(C461,Courses!$A$1:$C$11,3,FALSE)</f>
        <v>4</v>
      </c>
    </row>
    <row r="462" spans="1:10">
      <c r="A462" t="s">
        <v>667</v>
      </c>
      <c r="B462" t="s">
        <v>123</v>
      </c>
      <c r="C462" t="s">
        <v>138</v>
      </c>
      <c r="D462">
        <v>6</v>
      </c>
      <c r="E462" t="s">
        <v>210</v>
      </c>
      <c r="F462" t="str">
        <f>VLOOKUP(B462,Students!$A$1:$C$101,2,FALSE)</f>
        <v>Nisha Gupta</v>
      </c>
      <c r="G462" t="str">
        <f>VLOOKUP(B462,Students!$A$1:$C$101,3,FALSE)</f>
        <v>M</v>
      </c>
      <c r="H462" t="str">
        <f>VLOOKUP(C462,Courses!$A$1:$B$11,2,FALSE)</f>
        <v>AI &amp; ML</v>
      </c>
      <c r="I462" t="str">
        <f>VLOOKUP(B462,Students!$A$1:$E$101,5,0)</f>
        <v>Management</v>
      </c>
      <c r="J462">
        <f>VLOOKUP(C462,Courses!$A$1:$C$11,3,FALSE)</f>
        <v>3</v>
      </c>
    </row>
    <row r="463" spans="1:10">
      <c r="A463" t="s">
        <v>668</v>
      </c>
      <c r="B463" t="s">
        <v>109</v>
      </c>
      <c r="C463" t="s">
        <v>130</v>
      </c>
      <c r="D463">
        <v>10</v>
      </c>
      <c r="E463" t="s">
        <v>201</v>
      </c>
      <c r="F463" t="str">
        <f>VLOOKUP(B463,Students!$A$1:$C$101,2,FALSE)</f>
        <v>Chris Evans</v>
      </c>
      <c r="G463" t="str">
        <f>VLOOKUP(B463,Students!$A$1:$C$101,3,FALSE)</f>
        <v>F</v>
      </c>
      <c r="H463" t="str">
        <f>VLOOKUP(C463,Courses!$A$1:$B$11,2,FALSE)</f>
        <v>Data Structures</v>
      </c>
      <c r="I463" t="str">
        <f>VLOOKUP(B463,Students!$A$1:$E$101,5,0)</f>
        <v>Management</v>
      </c>
      <c r="J463">
        <f>VLOOKUP(C463,Courses!$A$1:$C$11,3,FALSE)</f>
        <v>3</v>
      </c>
    </row>
    <row r="464" spans="1:10">
      <c r="A464" t="s">
        <v>669</v>
      </c>
      <c r="B464" t="s">
        <v>95</v>
      </c>
      <c r="C464" t="s">
        <v>130</v>
      </c>
      <c r="D464">
        <v>8</v>
      </c>
      <c r="E464" t="s">
        <v>207</v>
      </c>
      <c r="F464" t="str">
        <f>VLOOKUP(B464,Students!$A$1:$C$101,2,FALSE)</f>
        <v>Sneha Patil</v>
      </c>
      <c r="G464" t="str">
        <f>VLOOKUP(B464,Students!$A$1:$C$101,3,FALSE)</f>
        <v>F</v>
      </c>
      <c r="H464" t="str">
        <f>VLOOKUP(C464,Courses!$A$1:$B$11,2,FALSE)</f>
        <v>Data Structures</v>
      </c>
      <c r="I464" t="str">
        <f>VLOOKUP(B464,Students!$A$1:$E$101,5,0)</f>
        <v>Computer Sci</v>
      </c>
      <c r="J464">
        <f>VLOOKUP(C464,Courses!$A$1:$C$11,3,FALSE)</f>
        <v>3</v>
      </c>
    </row>
    <row r="465" spans="1:10">
      <c r="A465" t="s">
        <v>670</v>
      </c>
      <c r="B465" t="s">
        <v>45</v>
      </c>
      <c r="C465" t="s">
        <v>130</v>
      </c>
      <c r="D465">
        <v>4</v>
      </c>
      <c r="E465" t="s">
        <v>207</v>
      </c>
      <c r="F465" t="str">
        <f>VLOOKUP(B465,Students!$A$1:$C$101,2,FALSE)</f>
        <v>Robert Taylor</v>
      </c>
      <c r="G465" t="str">
        <f>VLOOKUP(B465,Students!$A$1:$C$101,3,FALSE)</f>
        <v>M</v>
      </c>
      <c r="H465" t="str">
        <f>VLOOKUP(C465,Courses!$A$1:$B$11,2,FALSE)</f>
        <v>Data Structures</v>
      </c>
      <c r="I465" t="str">
        <f>VLOOKUP(B465,Students!$A$1:$E$101,5,0)</f>
        <v>Management</v>
      </c>
      <c r="J465">
        <f>VLOOKUP(C465,Courses!$A$1:$C$11,3,FALSE)</f>
        <v>3</v>
      </c>
    </row>
    <row r="466" spans="1:10">
      <c r="A466" t="s">
        <v>671</v>
      </c>
      <c r="B466" t="s">
        <v>46</v>
      </c>
      <c r="C466" t="s">
        <v>138</v>
      </c>
      <c r="D466">
        <v>10</v>
      </c>
      <c r="E466" t="s">
        <v>204</v>
      </c>
      <c r="F466" t="str">
        <f>VLOOKUP(B466,Students!$A$1:$C$101,2,FALSE)</f>
        <v>James Clark</v>
      </c>
      <c r="G466" t="str">
        <f>VLOOKUP(B466,Students!$A$1:$C$101,3,FALSE)</f>
        <v>F</v>
      </c>
      <c r="H466" t="str">
        <f>VLOOKUP(C466,Courses!$A$1:$B$11,2,FALSE)</f>
        <v>AI &amp; ML</v>
      </c>
      <c r="I466" t="str">
        <f>VLOOKUP(B466,Students!$A$1:$E$101,5,0)</f>
        <v>Civil</v>
      </c>
      <c r="J466">
        <f>VLOOKUP(C466,Courses!$A$1:$C$11,3,FALSE)</f>
        <v>3</v>
      </c>
    </row>
    <row r="467" spans="1:10">
      <c r="A467" t="s">
        <v>672</v>
      </c>
      <c r="B467" t="s">
        <v>63</v>
      </c>
      <c r="C467" t="s">
        <v>148</v>
      </c>
      <c r="D467">
        <v>0</v>
      </c>
      <c r="E467" t="s">
        <v>204</v>
      </c>
      <c r="F467" t="str">
        <f>VLOOKUP(B467,Students!$A$1:$C$101,2,FALSE)</f>
        <v>Amit Kumar</v>
      </c>
      <c r="G467" t="str">
        <f>VLOOKUP(B467,Students!$A$1:$C$101,3,FALSE)</f>
        <v>F</v>
      </c>
      <c r="H467" t="str">
        <f>VLOOKUP(C467,Courses!$A$1:$B$11,2,FALSE)</f>
        <v>Finance</v>
      </c>
      <c r="I467" t="str">
        <f>VLOOKUP(B467,Students!$A$1:$E$101,5,0)</f>
        <v>Computer Sci</v>
      </c>
      <c r="J467">
        <f>VLOOKUP(C467,Courses!$A$1:$C$11,3,FALSE)</f>
        <v>4</v>
      </c>
    </row>
    <row r="468" spans="1:10">
      <c r="A468" t="s">
        <v>673</v>
      </c>
      <c r="B468" t="s">
        <v>68</v>
      </c>
      <c r="C468" t="s">
        <v>138</v>
      </c>
      <c r="D468">
        <v>4</v>
      </c>
      <c r="E468" t="s">
        <v>207</v>
      </c>
      <c r="F468" t="str">
        <f>VLOOKUP(B468,Students!$A$1:$C$101,2,FALSE)</f>
        <v>Daniel Lee</v>
      </c>
      <c r="G468" t="str">
        <f>VLOOKUP(B468,Students!$A$1:$C$101,3,FALSE)</f>
        <v>M</v>
      </c>
      <c r="H468" t="str">
        <f>VLOOKUP(C468,Courses!$A$1:$B$11,2,FALSE)</f>
        <v>AI &amp; ML</v>
      </c>
      <c r="I468" t="str">
        <f>VLOOKUP(B468,Students!$A$1:$E$101,5,0)</f>
        <v>Civil</v>
      </c>
      <c r="J468">
        <f>VLOOKUP(C468,Courses!$A$1:$C$11,3,FALSE)</f>
        <v>3</v>
      </c>
    </row>
    <row r="469" spans="1:10">
      <c r="A469" t="s">
        <v>674</v>
      </c>
      <c r="B469" t="s">
        <v>40</v>
      </c>
      <c r="C469" t="s">
        <v>146</v>
      </c>
      <c r="D469">
        <v>4</v>
      </c>
      <c r="E469" t="s">
        <v>210</v>
      </c>
      <c r="F469" t="str">
        <f>VLOOKUP(B469,Students!$A$1:$C$101,2,FALSE)</f>
        <v>Amit Kumar</v>
      </c>
      <c r="G469" t="str">
        <f>VLOOKUP(B469,Students!$A$1:$C$101,3,FALSE)</f>
        <v>M</v>
      </c>
      <c r="H469" t="str">
        <f>VLOOKUP(C469,Courses!$A$1:$B$11,2,FALSE)</f>
        <v>Marketing</v>
      </c>
      <c r="I469" t="str">
        <f>VLOOKUP(B469,Students!$A$1:$E$101,5,0)</f>
        <v>Computer Sci</v>
      </c>
      <c r="J469">
        <f>VLOOKUP(C469,Courses!$A$1:$C$11,3,FALSE)</f>
        <v>3</v>
      </c>
    </row>
    <row r="470" spans="1:10">
      <c r="A470" t="s">
        <v>675</v>
      </c>
      <c r="B470" t="s">
        <v>48</v>
      </c>
      <c r="C470" t="s">
        <v>132</v>
      </c>
      <c r="D470">
        <v>6</v>
      </c>
      <c r="E470" t="s">
        <v>201</v>
      </c>
      <c r="F470" t="str">
        <f>VLOOKUP(B470,Students!$A$1:$C$101,2,FALSE)</f>
        <v>Sara Khan</v>
      </c>
      <c r="G470" t="str">
        <f>VLOOKUP(B470,Students!$A$1:$C$101,3,FALSE)</f>
        <v>F</v>
      </c>
      <c r="H470" t="str">
        <f>VLOOKUP(C470,Courses!$A$1:$B$11,2,FALSE)</f>
        <v>DBMS</v>
      </c>
      <c r="I470" t="str">
        <f>VLOOKUP(B470,Students!$A$1:$E$101,5,0)</f>
        <v>Electronics</v>
      </c>
      <c r="J470">
        <f>VLOOKUP(C470,Courses!$A$1:$C$11,3,FALSE)</f>
        <v>4</v>
      </c>
    </row>
    <row r="471" spans="1:10">
      <c r="A471" t="s">
        <v>676</v>
      </c>
      <c r="B471" t="s">
        <v>120</v>
      </c>
      <c r="C471" t="s">
        <v>144</v>
      </c>
      <c r="D471">
        <v>6</v>
      </c>
      <c r="E471" t="s">
        <v>201</v>
      </c>
      <c r="F471" t="str">
        <f>VLOOKUP(B471,Students!$A$1:$C$101,2,FALSE)</f>
        <v>Emily Davis</v>
      </c>
      <c r="G471" t="str">
        <f>VLOOKUP(B471,Students!$A$1:$C$101,3,FALSE)</f>
        <v>M</v>
      </c>
      <c r="H471" t="str">
        <f>VLOOKUP(C471,Courses!$A$1:$B$11,2,FALSE)</f>
        <v>Structural Analysis</v>
      </c>
      <c r="I471" t="str">
        <f>VLOOKUP(B471,Students!$A$1:$E$101,5,0)</f>
        <v>Mechanical</v>
      </c>
      <c r="J471">
        <f>VLOOKUP(C471,Courses!$A$1:$C$11,3,FALSE)</f>
        <v>4</v>
      </c>
    </row>
    <row r="472" spans="1:10">
      <c r="A472" t="s">
        <v>677</v>
      </c>
      <c r="B472" t="s">
        <v>9</v>
      </c>
      <c r="C472" t="s">
        <v>140</v>
      </c>
      <c r="D472">
        <v>6</v>
      </c>
      <c r="E472" t="s">
        <v>201</v>
      </c>
      <c r="F472" t="str">
        <f>VLOOKUP(B472,Students!$A$1:$C$101,2,FALSE)</f>
        <v>Sneha Patil</v>
      </c>
      <c r="G472" t="str">
        <f>VLOOKUP(B472,Students!$A$1:$C$101,3,FALSE)</f>
        <v>M</v>
      </c>
      <c r="H472" t="str">
        <f>VLOOKUP(C472,Courses!$A$1:$B$11,2,FALSE)</f>
        <v>Fluid Mechanics</v>
      </c>
      <c r="I472" t="str">
        <f>VLOOKUP(B472,Students!$A$1:$E$101,5,0)</f>
        <v>Computer Sci</v>
      </c>
      <c r="J472">
        <f>VLOOKUP(C472,Courses!$A$1:$C$11,3,FALSE)</f>
        <v>4</v>
      </c>
    </row>
    <row r="473" spans="1:10">
      <c r="A473" t="s">
        <v>678</v>
      </c>
      <c r="B473" t="s">
        <v>45</v>
      </c>
      <c r="C473" t="s">
        <v>148</v>
      </c>
      <c r="D473">
        <v>4</v>
      </c>
      <c r="E473" t="s">
        <v>207</v>
      </c>
      <c r="F473" t="str">
        <f>VLOOKUP(B473,Students!$A$1:$C$101,2,FALSE)</f>
        <v>Robert Taylor</v>
      </c>
      <c r="G473" t="str">
        <f>VLOOKUP(B473,Students!$A$1:$C$101,3,FALSE)</f>
        <v>M</v>
      </c>
      <c r="H473" t="str">
        <f>VLOOKUP(C473,Courses!$A$1:$B$11,2,FALSE)</f>
        <v>Finance</v>
      </c>
      <c r="I473" t="str">
        <f>VLOOKUP(B473,Students!$A$1:$E$101,5,0)</f>
        <v>Management</v>
      </c>
      <c r="J473">
        <f>VLOOKUP(C473,Courses!$A$1:$C$11,3,FALSE)</f>
        <v>4</v>
      </c>
    </row>
    <row r="474" spans="1:10">
      <c r="A474" t="s">
        <v>679</v>
      </c>
      <c r="B474" t="s">
        <v>92</v>
      </c>
      <c r="C474" t="s">
        <v>140</v>
      </c>
      <c r="D474">
        <v>10</v>
      </c>
      <c r="E474" t="s">
        <v>207</v>
      </c>
      <c r="F474" t="str">
        <f>VLOOKUP(B474,Students!$A$1:$C$101,2,FALSE)</f>
        <v>James Clark</v>
      </c>
      <c r="G474" t="str">
        <f>VLOOKUP(B474,Students!$A$1:$C$101,3,FALSE)</f>
        <v>M</v>
      </c>
      <c r="H474" t="str">
        <f>VLOOKUP(C474,Courses!$A$1:$B$11,2,FALSE)</f>
        <v>Fluid Mechanics</v>
      </c>
      <c r="I474" t="str">
        <f>VLOOKUP(B474,Students!$A$1:$E$101,5,0)</f>
        <v>Civil</v>
      </c>
      <c r="J474">
        <f>VLOOKUP(C474,Courses!$A$1:$C$11,3,FALSE)</f>
        <v>4</v>
      </c>
    </row>
    <row r="475" spans="1:10">
      <c r="A475" t="s">
        <v>680</v>
      </c>
      <c r="B475" t="s">
        <v>112</v>
      </c>
      <c r="C475" t="s">
        <v>132</v>
      </c>
      <c r="D475">
        <v>8</v>
      </c>
      <c r="E475" t="s">
        <v>201</v>
      </c>
      <c r="F475" t="str">
        <f>VLOOKUP(B475,Students!$A$1:$C$101,2,FALSE)</f>
        <v>Robert Taylor</v>
      </c>
      <c r="G475" t="str">
        <f>VLOOKUP(B475,Students!$A$1:$C$101,3,FALSE)</f>
        <v>M</v>
      </c>
      <c r="H475" t="str">
        <f>VLOOKUP(C475,Courses!$A$1:$B$11,2,FALSE)</f>
        <v>DBMS</v>
      </c>
      <c r="I475" t="str">
        <f>VLOOKUP(B475,Students!$A$1:$E$101,5,0)</f>
        <v>Mechanical</v>
      </c>
      <c r="J475">
        <f>VLOOKUP(C475,Courses!$A$1:$C$11,3,FALSE)</f>
        <v>4</v>
      </c>
    </row>
    <row r="476" spans="1:10">
      <c r="A476" t="s">
        <v>681</v>
      </c>
      <c r="B476" t="s">
        <v>88</v>
      </c>
      <c r="C476" t="s">
        <v>140</v>
      </c>
      <c r="D476">
        <v>8</v>
      </c>
      <c r="E476" t="s">
        <v>204</v>
      </c>
      <c r="F476" t="str">
        <f>VLOOKUP(B476,Students!$A$1:$C$101,2,FALSE)</f>
        <v>Sneha Patil</v>
      </c>
      <c r="G476" t="str">
        <f>VLOOKUP(B476,Students!$A$1:$C$101,3,FALSE)</f>
        <v>M</v>
      </c>
      <c r="H476" t="str">
        <f>VLOOKUP(C476,Courses!$A$1:$B$11,2,FALSE)</f>
        <v>Fluid Mechanics</v>
      </c>
      <c r="I476" t="str">
        <f>VLOOKUP(B476,Students!$A$1:$E$101,5,0)</f>
        <v>Management</v>
      </c>
      <c r="J476">
        <f>VLOOKUP(C476,Courses!$A$1:$C$11,3,FALSE)</f>
        <v>4</v>
      </c>
    </row>
    <row r="477" spans="1:10">
      <c r="A477" t="s">
        <v>682</v>
      </c>
      <c r="B477" t="s">
        <v>58</v>
      </c>
      <c r="C477" t="s">
        <v>142</v>
      </c>
      <c r="D477">
        <v>8</v>
      </c>
      <c r="E477" t="s">
        <v>207</v>
      </c>
      <c r="F477" t="str">
        <f>VLOOKUP(B477,Students!$A$1:$C$101,2,FALSE)</f>
        <v>Robert Taylor</v>
      </c>
      <c r="G477" t="str">
        <f>VLOOKUP(B477,Students!$A$1:$C$101,3,FALSE)</f>
        <v>F</v>
      </c>
      <c r="H477" t="str">
        <f>VLOOKUP(C477,Courses!$A$1:$B$11,2,FALSE)</f>
        <v>Digital Logic</v>
      </c>
      <c r="I477" t="str">
        <f>VLOOKUP(B477,Students!$A$1:$E$101,5,0)</f>
        <v>Civil</v>
      </c>
      <c r="J477">
        <f>VLOOKUP(C477,Courses!$A$1:$C$11,3,FALSE)</f>
        <v>3</v>
      </c>
    </row>
    <row r="478" spans="1:10">
      <c r="A478" t="s">
        <v>683</v>
      </c>
      <c r="B478" t="s">
        <v>123</v>
      </c>
      <c r="C478" t="s">
        <v>138</v>
      </c>
      <c r="D478">
        <v>6</v>
      </c>
      <c r="E478" t="s">
        <v>210</v>
      </c>
      <c r="F478" t="str">
        <f>VLOOKUP(B478,Students!$A$1:$C$101,2,FALSE)</f>
        <v>Nisha Gupta</v>
      </c>
      <c r="G478" t="str">
        <f>VLOOKUP(B478,Students!$A$1:$C$101,3,FALSE)</f>
        <v>M</v>
      </c>
      <c r="H478" t="str">
        <f>VLOOKUP(C478,Courses!$A$1:$B$11,2,FALSE)</f>
        <v>AI &amp; ML</v>
      </c>
      <c r="I478" t="str">
        <f>VLOOKUP(B478,Students!$A$1:$E$101,5,0)</f>
        <v>Management</v>
      </c>
      <c r="J478">
        <f>VLOOKUP(C478,Courses!$A$1:$C$11,3,FALSE)</f>
        <v>3</v>
      </c>
    </row>
    <row r="479" spans="1:10">
      <c r="A479" t="s">
        <v>684</v>
      </c>
      <c r="B479" t="s">
        <v>101</v>
      </c>
      <c r="C479" t="s">
        <v>148</v>
      </c>
      <c r="D479">
        <v>10</v>
      </c>
      <c r="E479" t="s">
        <v>210</v>
      </c>
      <c r="F479" t="str">
        <f>VLOOKUP(B479,Students!$A$1:$C$101,2,FALSE)</f>
        <v>Priya Verma</v>
      </c>
      <c r="G479" t="str">
        <f>VLOOKUP(B479,Students!$A$1:$C$101,3,FALSE)</f>
        <v>F</v>
      </c>
      <c r="H479" t="str">
        <f>VLOOKUP(C479,Courses!$A$1:$B$11,2,FALSE)</f>
        <v>Finance</v>
      </c>
      <c r="I479" t="str">
        <f>VLOOKUP(B479,Students!$A$1:$E$101,5,0)</f>
        <v>Electronics</v>
      </c>
      <c r="J479">
        <f>VLOOKUP(C479,Courses!$A$1:$C$11,3,FALSE)</f>
        <v>4</v>
      </c>
    </row>
    <row r="480" spans="1:10">
      <c r="A480" t="s">
        <v>685</v>
      </c>
      <c r="B480" t="s">
        <v>110</v>
      </c>
      <c r="C480" t="s">
        <v>140</v>
      </c>
      <c r="D480">
        <v>8</v>
      </c>
      <c r="E480" t="s">
        <v>204</v>
      </c>
      <c r="F480" t="str">
        <f>VLOOKUP(B480,Students!$A$1:$C$101,2,FALSE)</f>
        <v>Robert Taylor</v>
      </c>
      <c r="G480" t="str">
        <f>VLOOKUP(B480,Students!$A$1:$C$101,3,FALSE)</f>
        <v>M</v>
      </c>
      <c r="H480" t="str">
        <f>VLOOKUP(C480,Courses!$A$1:$B$11,2,FALSE)</f>
        <v>Fluid Mechanics</v>
      </c>
      <c r="I480" t="str">
        <f>VLOOKUP(B480,Students!$A$1:$E$101,5,0)</f>
        <v>Electronics</v>
      </c>
      <c r="J480">
        <f>VLOOKUP(C480,Courses!$A$1:$C$11,3,FALSE)</f>
        <v>4</v>
      </c>
    </row>
    <row r="481" spans="1:10">
      <c r="A481" t="s">
        <v>686</v>
      </c>
      <c r="B481" t="s">
        <v>112</v>
      </c>
      <c r="C481" t="s">
        <v>132</v>
      </c>
      <c r="D481">
        <v>4</v>
      </c>
      <c r="E481" t="s">
        <v>210</v>
      </c>
      <c r="F481" t="str">
        <f>VLOOKUP(B481,Students!$A$1:$C$101,2,FALSE)</f>
        <v>Robert Taylor</v>
      </c>
      <c r="G481" t="str">
        <f>VLOOKUP(B481,Students!$A$1:$C$101,3,FALSE)</f>
        <v>M</v>
      </c>
      <c r="H481" t="str">
        <f>VLOOKUP(C481,Courses!$A$1:$B$11,2,FALSE)</f>
        <v>DBMS</v>
      </c>
      <c r="I481" t="str">
        <f>VLOOKUP(B481,Students!$A$1:$E$101,5,0)</f>
        <v>Mechanical</v>
      </c>
      <c r="J481">
        <f>VLOOKUP(C481,Courses!$A$1:$C$11,3,FALSE)</f>
        <v>4</v>
      </c>
    </row>
    <row r="482" spans="1:10">
      <c r="A482" t="s">
        <v>687</v>
      </c>
      <c r="B482" t="s">
        <v>43</v>
      </c>
      <c r="C482" t="s">
        <v>142</v>
      </c>
      <c r="D482">
        <v>0</v>
      </c>
      <c r="E482" t="s">
        <v>210</v>
      </c>
      <c r="F482" t="str">
        <f>VLOOKUP(B482,Students!$A$1:$C$101,2,FALSE)</f>
        <v>Sneha Patil</v>
      </c>
      <c r="G482" t="str">
        <f>VLOOKUP(B482,Students!$A$1:$C$101,3,FALSE)</f>
        <v>F</v>
      </c>
      <c r="H482" t="str">
        <f>VLOOKUP(C482,Courses!$A$1:$B$11,2,FALSE)</f>
        <v>Digital Logic</v>
      </c>
      <c r="I482" t="str">
        <f>VLOOKUP(B482,Students!$A$1:$E$101,5,0)</f>
        <v>Mechanical</v>
      </c>
      <c r="J482">
        <f>VLOOKUP(C482,Courses!$A$1:$C$11,3,FALSE)</f>
        <v>3</v>
      </c>
    </row>
    <row r="483" spans="1:10">
      <c r="A483" t="s">
        <v>688</v>
      </c>
      <c r="B483" t="s">
        <v>115</v>
      </c>
      <c r="C483" t="s">
        <v>132</v>
      </c>
      <c r="D483">
        <v>6</v>
      </c>
      <c r="E483" t="s">
        <v>210</v>
      </c>
      <c r="F483" t="str">
        <f>VLOOKUP(B483,Students!$A$1:$C$101,2,FALSE)</f>
        <v>Sophia Wilson</v>
      </c>
      <c r="G483" t="str">
        <f>VLOOKUP(B483,Students!$A$1:$C$101,3,FALSE)</f>
        <v>F</v>
      </c>
      <c r="H483" t="str">
        <f>VLOOKUP(C483,Courses!$A$1:$B$11,2,FALSE)</f>
        <v>DBMS</v>
      </c>
      <c r="I483" t="str">
        <f>VLOOKUP(B483,Students!$A$1:$E$101,5,0)</f>
        <v>Computer Sci</v>
      </c>
      <c r="J483">
        <f>VLOOKUP(C483,Courses!$A$1:$C$11,3,FALSE)</f>
        <v>4</v>
      </c>
    </row>
    <row r="484" spans="1:10">
      <c r="A484" t="s">
        <v>689</v>
      </c>
      <c r="B484" t="s">
        <v>105</v>
      </c>
      <c r="C484" t="s">
        <v>136</v>
      </c>
      <c r="D484">
        <v>8</v>
      </c>
      <c r="E484" t="s">
        <v>201</v>
      </c>
      <c r="F484" t="str">
        <f>VLOOKUP(B484,Students!$A$1:$C$101,2,FALSE)</f>
        <v>Raj Mehta</v>
      </c>
      <c r="G484" t="str">
        <f>VLOOKUP(B484,Students!$A$1:$C$101,3,FALSE)</f>
        <v>M</v>
      </c>
      <c r="H484" t="str">
        <f>VLOOKUP(C484,Courses!$A$1:$B$11,2,FALSE)</f>
        <v>Circuits</v>
      </c>
      <c r="I484" t="str">
        <f>VLOOKUP(B484,Students!$A$1:$E$101,5,0)</f>
        <v>Management</v>
      </c>
      <c r="J484">
        <f>VLOOKUP(C484,Courses!$A$1:$C$11,3,FALSE)</f>
        <v>4</v>
      </c>
    </row>
    <row r="485" spans="1:10">
      <c r="A485" t="s">
        <v>690</v>
      </c>
      <c r="B485" t="s">
        <v>88</v>
      </c>
      <c r="C485" t="s">
        <v>134</v>
      </c>
      <c r="D485">
        <v>4</v>
      </c>
      <c r="E485" t="s">
        <v>210</v>
      </c>
      <c r="F485" t="str">
        <f>VLOOKUP(B485,Students!$A$1:$C$101,2,FALSE)</f>
        <v>Sneha Patil</v>
      </c>
      <c r="G485" t="str">
        <f>VLOOKUP(B485,Students!$A$1:$C$101,3,FALSE)</f>
        <v>M</v>
      </c>
      <c r="H485" t="str">
        <f>VLOOKUP(C485,Courses!$A$1:$B$11,2,FALSE)</f>
        <v>Thermodynamics</v>
      </c>
      <c r="I485" t="str">
        <f>VLOOKUP(B485,Students!$A$1:$E$101,5,0)</f>
        <v>Management</v>
      </c>
      <c r="J485">
        <f>VLOOKUP(C485,Courses!$A$1:$C$11,3,FALSE)</f>
        <v>3</v>
      </c>
    </row>
    <row r="486" spans="1:10">
      <c r="A486" t="s">
        <v>691</v>
      </c>
      <c r="B486" t="s">
        <v>80</v>
      </c>
      <c r="C486" t="s">
        <v>146</v>
      </c>
      <c r="D486">
        <v>4</v>
      </c>
      <c r="E486" t="s">
        <v>201</v>
      </c>
      <c r="F486" t="str">
        <f>VLOOKUP(B486,Students!$A$1:$C$101,2,FALSE)</f>
        <v>Sneha Patil</v>
      </c>
      <c r="G486" t="str">
        <f>VLOOKUP(B486,Students!$A$1:$C$101,3,FALSE)</f>
        <v>M</v>
      </c>
      <c r="H486" t="str">
        <f>VLOOKUP(C486,Courses!$A$1:$B$11,2,FALSE)</f>
        <v>Marketing</v>
      </c>
      <c r="I486" t="str">
        <f>VLOOKUP(B486,Students!$A$1:$E$101,5,0)</f>
        <v>Mechanical</v>
      </c>
      <c r="J486">
        <f>VLOOKUP(C486,Courses!$A$1:$C$11,3,FALSE)</f>
        <v>3</v>
      </c>
    </row>
    <row r="487" spans="1:10">
      <c r="A487" t="s">
        <v>692</v>
      </c>
      <c r="B487" t="s">
        <v>124</v>
      </c>
      <c r="C487" t="s">
        <v>136</v>
      </c>
      <c r="D487">
        <v>0</v>
      </c>
      <c r="E487" t="s">
        <v>204</v>
      </c>
      <c r="F487" t="str">
        <f>VLOOKUP(B487,Students!$A$1:$C$101,2,FALSE)</f>
        <v>James Clark</v>
      </c>
      <c r="G487" t="str">
        <f>VLOOKUP(B487,Students!$A$1:$C$101,3,FALSE)</f>
        <v>F</v>
      </c>
      <c r="H487" t="str">
        <f>VLOOKUP(C487,Courses!$A$1:$B$11,2,FALSE)</f>
        <v>Circuits</v>
      </c>
      <c r="I487" t="str">
        <f>VLOOKUP(B487,Students!$A$1:$E$101,5,0)</f>
        <v>Mechanical</v>
      </c>
      <c r="J487">
        <f>VLOOKUP(C487,Courses!$A$1:$C$11,3,FALSE)</f>
        <v>4</v>
      </c>
    </row>
    <row r="488" spans="1:10">
      <c r="A488" t="s">
        <v>693</v>
      </c>
      <c r="B488" t="s">
        <v>94</v>
      </c>
      <c r="C488" t="s">
        <v>144</v>
      </c>
      <c r="D488">
        <v>0</v>
      </c>
      <c r="E488" t="s">
        <v>210</v>
      </c>
      <c r="F488" t="str">
        <f>VLOOKUP(B488,Students!$A$1:$C$101,2,FALSE)</f>
        <v>Robert Taylor</v>
      </c>
      <c r="G488" t="str">
        <f>VLOOKUP(B488,Students!$A$1:$C$101,3,FALSE)</f>
        <v>F</v>
      </c>
      <c r="H488" t="str">
        <f>VLOOKUP(C488,Courses!$A$1:$B$11,2,FALSE)</f>
        <v>Structural Analysis</v>
      </c>
      <c r="I488" t="str">
        <f>VLOOKUP(B488,Students!$A$1:$E$101,5,0)</f>
        <v>Mechanical</v>
      </c>
      <c r="J488">
        <f>VLOOKUP(C488,Courses!$A$1:$C$11,3,FALSE)</f>
        <v>4</v>
      </c>
    </row>
    <row r="489" spans="1:10">
      <c r="A489" t="s">
        <v>694</v>
      </c>
      <c r="B489" t="s">
        <v>29</v>
      </c>
      <c r="C489" t="s">
        <v>148</v>
      </c>
      <c r="D489">
        <v>10</v>
      </c>
      <c r="E489" t="s">
        <v>204</v>
      </c>
      <c r="F489" t="str">
        <f>VLOOKUP(B489,Students!$A$1:$C$101,2,FALSE)</f>
        <v>Sara Khan</v>
      </c>
      <c r="G489" t="str">
        <f>VLOOKUP(B489,Students!$A$1:$C$101,3,FALSE)</f>
        <v>M</v>
      </c>
      <c r="H489" t="str">
        <f>VLOOKUP(C489,Courses!$A$1:$B$11,2,FALSE)</f>
        <v>Finance</v>
      </c>
      <c r="I489" t="str">
        <f>VLOOKUP(B489,Students!$A$1:$E$101,5,0)</f>
        <v>Electronics</v>
      </c>
      <c r="J489">
        <f>VLOOKUP(C489,Courses!$A$1:$C$11,3,FALSE)</f>
        <v>4</v>
      </c>
    </row>
    <row r="490" spans="1:10">
      <c r="A490" t="s">
        <v>695</v>
      </c>
      <c r="B490" t="s">
        <v>97</v>
      </c>
      <c r="C490" t="s">
        <v>146</v>
      </c>
      <c r="D490">
        <v>8</v>
      </c>
      <c r="E490" t="s">
        <v>201</v>
      </c>
      <c r="F490" t="str">
        <f>VLOOKUP(B490,Students!$A$1:$C$101,2,FALSE)</f>
        <v>Ankit Sharma</v>
      </c>
      <c r="G490" t="str">
        <f>VLOOKUP(B490,Students!$A$1:$C$101,3,FALSE)</f>
        <v>F</v>
      </c>
      <c r="H490" t="str">
        <f>VLOOKUP(C490,Courses!$A$1:$B$11,2,FALSE)</f>
        <v>Marketing</v>
      </c>
      <c r="I490" t="str">
        <f>VLOOKUP(B490,Students!$A$1:$E$101,5,0)</f>
        <v>Computer Sci</v>
      </c>
      <c r="J490">
        <f>VLOOKUP(C490,Courses!$A$1:$C$11,3,FALSE)</f>
        <v>3</v>
      </c>
    </row>
    <row r="491" spans="1:10">
      <c r="A491" t="s">
        <v>696</v>
      </c>
      <c r="B491" t="s">
        <v>44</v>
      </c>
      <c r="C491" t="s">
        <v>140</v>
      </c>
      <c r="D491">
        <v>0</v>
      </c>
      <c r="E491" t="s">
        <v>207</v>
      </c>
      <c r="F491" t="str">
        <f>VLOOKUP(B491,Students!$A$1:$C$101,2,FALSE)</f>
        <v>Sophia Wilson</v>
      </c>
      <c r="G491" t="str">
        <f>VLOOKUP(B491,Students!$A$1:$C$101,3,FALSE)</f>
        <v>M</v>
      </c>
      <c r="H491" t="str">
        <f>VLOOKUP(C491,Courses!$A$1:$B$11,2,FALSE)</f>
        <v>Fluid Mechanics</v>
      </c>
      <c r="I491" t="str">
        <f>VLOOKUP(B491,Students!$A$1:$E$101,5,0)</f>
        <v>Civil</v>
      </c>
      <c r="J491">
        <f>VLOOKUP(C491,Courses!$A$1:$C$11,3,FALSE)</f>
        <v>4</v>
      </c>
    </row>
    <row r="492" spans="1:10">
      <c r="A492" t="s">
        <v>697</v>
      </c>
      <c r="B492" t="s">
        <v>35</v>
      </c>
      <c r="C492" t="s">
        <v>136</v>
      </c>
      <c r="D492">
        <v>0</v>
      </c>
      <c r="E492" t="s">
        <v>207</v>
      </c>
      <c r="F492" t="str">
        <f>VLOOKUP(B492,Students!$A$1:$C$101,2,FALSE)</f>
        <v>Daniel Lee</v>
      </c>
      <c r="G492" t="str">
        <f>VLOOKUP(B492,Students!$A$1:$C$101,3,FALSE)</f>
        <v>F</v>
      </c>
      <c r="H492" t="str">
        <f>VLOOKUP(C492,Courses!$A$1:$B$11,2,FALSE)</f>
        <v>Circuits</v>
      </c>
      <c r="I492" t="str">
        <f>VLOOKUP(B492,Students!$A$1:$E$101,5,0)</f>
        <v>Mechanical</v>
      </c>
      <c r="J492">
        <f>VLOOKUP(C492,Courses!$A$1:$C$11,3,FALSE)</f>
        <v>4</v>
      </c>
    </row>
    <row r="493" spans="1:10">
      <c r="A493" t="s">
        <v>698</v>
      </c>
      <c r="B493" t="s">
        <v>32</v>
      </c>
      <c r="C493" t="s">
        <v>146</v>
      </c>
      <c r="D493">
        <v>4</v>
      </c>
      <c r="E493" t="s">
        <v>204</v>
      </c>
      <c r="F493" t="str">
        <f>VLOOKUP(B493,Students!$A$1:$C$101,2,FALSE)</f>
        <v>Emily Davis</v>
      </c>
      <c r="G493" t="str">
        <f>VLOOKUP(B493,Students!$A$1:$C$101,3,FALSE)</f>
        <v>M</v>
      </c>
      <c r="H493" t="str">
        <f>VLOOKUP(C493,Courses!$A$1:$B$11,2,FALSE)</f>
        <v>Marketing</v>
      </c>
      <c r="I493" t="str">
        <f>VLOOKUP(B493,Students!$A$1:$E$101,5,0)</f>
        <v>Computer Sci</v>
      </c>
      <c r="J493">
        <f>VLOOKUP(C493,Courses!$A$1:$C$11,3,FALSE)</f>
        <v>3</v>
      </c>
    </row>
    <row r="494" spans="1:10">
      <c r="A494" t="s">
        <v>699</v>
      </c>
      <c r="B494" t="s">
        <v>85</v>
      </c>
      <c r="C494" t="s">
        <v>134</v>
      </c>
      <c r="D494">
        <v>0</v>
      </c>
      <c r="E494" t="s">
        <v>207</v>
      </c>
      <c r="F494" t="str">
        <f>VLOOKUP(B494,Students!$A$1:$C$101,2,FALSE)</f>
        <v>Chris Evans</v>
      </c>
      <c r="G494" t="str">
        <f>VLOOKUP(B494,Students!$A$1:$C$101,3,FALSE)</f>
        <v>F</v>
      </c>
      <c r="H494" t="str">
        <f>VLOOKUP(C494,Courses!$A$1:$B$11,2,FALSE)</f>
        <v>Thermodynamics</v>
      </c>
      <c r="I494" t="str">
        <f>VLOOKUP(B494,Students!$A$1:$E$101,5,0)</f>
        <v>Mechanical</v>
      </c>
      <c r="J494">
        <f>VLOOKUP(C494,Courses!$A$1:$C$11,3,FALSE)</f>
        <v>3</v>
      </c>
    </row>
    <row r="495" spans="1:10">
      <c r="A495" t="s">
        <v>700</v>
      </c>
      <c r="B495" t="s">
        <v>85</v>
      </c>
      <c r="C495" t="s">
        <v>148</v>
      </c>
      <c r="D495">
        <v>10</v>
      </c>
      <c r="E495" t="s">
        <v>207</v>
      </c>
      <c r="F495" t="str">
        <f>VLOOKUP(B495,Students!$A$1:$C$101,2,FALSE)</f>
        <v>Chris Evans</v>
      </c>
      <c r="G495" t="str">
        <f>VLOOKUP(B495,Students!$A$1:$C$101,3,FALSE)</f>
        <v>F</v>
      </c>
      <c r="H495" t="str">
        <f>VLOOKUP(C495,Courses!$A$1:$B$11,2,FALSE)</f>
        <v>Finance</v>
      </c>
      <c r="I495" t="str">
        <f>VLOOKUP(B495,Students!$A$1:$E$101,5,0)</f>
        <v>Mechanical</v>
      </c>
      <c r="J495">
        <f>VLOOKUP(C495,Courses!$A$1:$C$11,3,FALSE)</f>
        <v>4</v>
      </c>
    </row>
    <row r="496" spans="1:10">
      <c r="A496" t="s">
        <v>701</v>
      </c>
      <c r="B496" t="s">
        <v>113</v>
      </c>
      <c r="C496" t="s">
        <v>138</v>
      </c>
      <c r="D496">
        <v>10</v>
      </c>
      <c r="E496" t="s">
        <v>207</v>
      </c>
      <c r="F496" t="str">
        <f>VLOOKUP(B496,Students!$A$1:$C$101,2,FALSE)</f>
        <v>Nisha Gupta</v>
      </c>
      <c r="G496" t="str">
        <f>VLOOKUP(B496,Students!$A$1:$C$101,3,FALSE)</f>
        <v>F</v>
      </c>
      <c r="H496" t="str">
        <f>VLOOKUP(C496,Courses!$A$1:$B$11,2,FALSE)</f>
        <v>AI &amp; ML</v>
      </c>
      <c r="I496" t="str">
        <f>VLOOKUP(B496,Students!$A$1:$E$101,5,0)</f>
        <v>Electronics</v>
      </c>
      <c r="J496">
        <f>VLOOKUP(C496,Courses!$A$1:$C$11,3,FALSE)</f>
        <v>3</v>
      </c>
    </row>
    <row r="497" spans="1:10">
      <c r="A497" t="s">
        <v>702</v>
      </c>
      <c r="B497" t="s">
        <v>57</v>
      </c>
      <c r="C497" t="s">
        <v>130</v>
      </c>
      <c r="D497">
        <v>8</v>
      </c>
      <c r="E497" t="s">
        <v>204</v>
      </c>
      <c r="F497" t="str">
        <f>VLOOKUP(B497,Students!$A$1:$C$101,2,FALSE)</f>
        <v>Daniel Lee</v>
      </c>
      <c r="G497" t="str">
        <f>VLOOKUP(B497,Students!$A$1:$C$101,3,FALSE)</f>
        <v>F</v>
      </c>
      <c r="H497" t="str">
        <f>VLOOKUP(C497,Courses!$A$1:$B$11,2,FALSE)</f>
        <v>Data Structures</v>
      </c>
      <c r="I497" t="str">
        <f>VLOOKUP(B497,Students!$A$1:$E$101,5,0)</f>
        <v>Computer Sci</v>
      </c>
      <c r="J497">
        <f>VLOOKUP(C497,Courses!$A$1:$C$11,3,FALSE)</f>
        <v>3</v>
      </c>
    </row>
    <row r="498" spans="1:10">
      <c r="A498" t="s">
        <v>703</v>
      </c>
      <c r="B498" t="s">
        <v>19</v>
      </c>
      <c r="C498" t="s">
        <v>142</v>
      </c>
      <c r="D498">
        <v>6</v>
      </c>
      <c r="E498" t="s">
        <v>204</v>
      </c>
      <c r="F498" t="str">
        <f>VLOOKUP(B498,Students!$A$1:$C$101,2,FALSE)</f>
        <v>Sara Khan</v>
      </c>
      <c r="G498" t="str">
        <f>VLOOKUP(B498,Students!$A$1:$C$101,3,FALSE)</f>
        <v>M</v>
      </c>
      <c r="H498" t="str">
        <f>VLOOKUP(C498,Courses!$A$1:$B$11,2,FALSE)</f>
        <v>Digital Logic</v>
      </c>
      <c r="I498" t="str">
        <f>VLOOKUP(B498,Students!$A$1:$E$101,5,0)</f>
        <v>Management</v>
      </c>
      <c r="J498">
        <f>VLOOKUP(C498,Courses!$A$1:$C$11,3,FALSE)</f>
        <v>3</v>
      </c>
    </row>
    <row r="499" spans="1:10">
      <c r="A499" t="s">
        <v>704</v>
      </c>
      <c r="B499" t="s">
        <v>96</v>
      </c>
      <c r="C499" t="s">
        <v>130</v>
      </c>
      <c r="D499">
        <v>10</v>
      </c>
      <c r="E499" t="s">
        <v>207</v>
      </c>
      <c r="F499" t="str">
        <f>VLOOKUP(B499,Students!$A$1:$C$101,2,FALSE)</f>
        <v>Raj Mehta</v>
      </c>
      <c r="G499" t="str">
        <f>VLOOKUP(B499,Students!$A$1:$C$101,3,FALSE)</f>
        <v>M</v>
      </c>
      <c r="H499" t="str">
        <f>VLOOKUP(C499,Courses!$A$1:$B$11,2,FALSE)</f>
        <v>Data Structures</v>
      </c>
      <c r="I499" t="str">
        <f>VLOOKUP(B499,Students!$A$1:$E$101,5,0)</f>
        <v>Computer Sci</v>
      </c>
      <c r="J499">
        <f>VLOOKUP(C499,Courses!$A$1:$C$11,3,FALSE)</f>
        <v>3</v>
      </c>
    </row>
    <row r="500" spans="1:10">
      <c r="A500" t="s">
        <v>705</v>
      </c>
      <c r="B500" t="s">
        <v>16</v>
      </c>
      <c r="C500" t="s">
        <v>138</v>
      </c>
      <c r="D500">
        <v>4</v>
      </c>
      <c r="E500" t="s">
        <v>201</v>
      </c>
      <c r="F500" t="str">
        <f>VLOOKUP(B500,Students!$A$1:$C$101,2,FALSE)</f>
        <v>Emily Davis</v>
      </c>
      <c r="G500" t="str">
        <f>VLOOKUP(B500,Students!$A$1:$C$101,3,FALSE)</f>
        <v>M</v>
      </c>
      <c r="H500" t="str">
        <f>VLOOKUP(C500,Courses!$A$1:$B$11,2,FALSE)</f>
        <v>AI &amp; ML</v>
      </c>
      <c r="I500" t="str">
        <f>VLOOKUP(B500,Students!$A$1:$E$101,5,0)</f>
        <v>Management</v>
      </c>
      <c r="J500">
        <f>VLOOKUP(C500,Courses!$A$1:$C$11,3,FALSE)</f>
        <v>3</v>
      </c>
    </row>
    <row r="501" spans="1:10">
      <c r="A501" t="s">
        <v>706</v>
      </c>
      <c r="B501" t="s">
        <v>125</v>
      </c>
      <c r="C501" t="s">
        <v>134</v>
      </c>
      <c r="D501">
        <v>4</v>
      </c>
      <c r="E501" t="s">
        <v>210</v>
      </c>
      <c r="F501" t="str">
        <f>VLOOKUP(B501,Students!$A$1:$C$101,2,FALSE)</f>
        <v>Sophia Wilson</v>
      </c>
      <c r="G501" t="str">
        <f>VLOOKUP(B501,Students!$A$1:$C$101,3,FALSE)</f>
        <v>M</v>
      </c>
      <c r="H501" t="str">
        <f>VLOOKUP(C501,Courses!$A$1:$B$11,2,FALSE)</f>
        <v>Thermodynamics</v>
      </c>
      <c r="I501" t="str">
        <f>VLOOKUP(B501,Students!$A$1:$E$101,5,0)</f>
        <v>Civil</v>
      </c>
      <c r="J501">
        <f>VLOOKUP(C501,Courses!$A$1:$C$11,3,FALSE)</f>
        <v>3</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42A41-B2A0-4124-8F2D-109B351A9C9A}">
  <dimension ref="A1:X29"/>
  <sheetViews>
    <sheetView tabSelected="1" workbookViewId="0">
      <selection sqref="A1:X29"/>
    </sheetView>
  </sheetViews>
  <sheetFormatPr defaultRowHeight="14.4"/>
  <sheetData>
    <row r="1" spans="1:24">
      <c r="A1" s="27"/>
      <c r="B1" s="27"/>
      <c r="C1" s="27"/>
      <c r="D1" s="27"/>
      <c r="E1" s="27"/>
      <c r="F1" s="27"/>
      <c r="G1" s="27"/>
      <c r="H1" s="27"/>
      <c r="I1" s="27"/>
      <c r="J1" s="27"/>
      <c r="K1" s="27"/>
      <c r="L1" s="27"/>
      <c r="M1" s="27"/>
      <c r="N1" s="27"/>
      <c r="O1" s="27"/>
      <c r="P1" s="27"/>
      <c r="Q1" s="27"/>
      <c r="R1" s="27"/>
      <c r="S1" s="27"/>
      <c r="T1" s="27"/>
      <c r="U1" s="27"/>
      <c r="V1" s="27"/>
      <c r="W1" s="27"/>
      <c r="X1" s="27"/>
    </row>
    <row r="2" spans="1:24">
      <c r="A2" s="27"/>
      <c r="B2" s="27"/>
      <c r="C2" s="27"/>
      <c r="D2" s="27"/>
      <c r="E2" s="27"/>
      <c r="F2" s="27"/>
      <c r="G2" s="27"/>
      <c r="H2" s="27"/>
      <c r="I2" s="27"/>
      <c r="J2" s="27"/>
      <c r="K2" s="27"/>
      <c r="L2" s="27"/>
      <c r="M2" s="27"/>
      <c r="N2" s="27"/>
      <c r="O2" s="27"/>
      <c r="P2" s="27"/>
      <c r="Q2" s="27"/>
      <c r="R2" s="27"/>
      <c r="S2" s="27"/>
      <c r="T2" s="27"/>
      <c r="U2" s="27"/>
      <c r="V2" s="27"/>
      <c r="W2" s="27"/>
      <c r="X2" s="27"/>
    </row>
    <row r="3" spans="1:24">
      <c r="A3" s="27"/>
      <c r="B3" s="27"/>
      <c r="C3" s="27"/>
      <c r="D3" s="27"/>
      <c r="E3" s="27"/>
      <c r="F3" s="27"/>
      <c r="G3" s="27"/>
      <c r="H3" s="27"/>
      <c r="I3" s="27"/>
      <c r="J3" s="27"/>
      <c r="K3" s="27"/>
      <c r="L3" s="27"/>
      <c r="M3" s="27"/>
      <c r="N3" s="27"/>
      <c r="O3" s="27"/>
      <c r="P3" s="27"/>
      <c r="Q3" s="27"/>
      <c r="R3" s="27"/>
      <c r="S3" s="27"/>
      <c r="T3" s="27"/>
      <c r="U3" s="27"/>
      <c r="V3" s="27"/>
      <c r="W3" s="27"/>
      <c r="X3" s="27"/>
    </row>
    <row r="4" spans="1:24">
      <c r="A4" s="27"/>
      <c r="B4" s="27"/>
      <c r="C4" s="27"/>
      <c r="D4" s="27"/>
      <c r="E4" s="27"/>
      <c r="F4" s="27"/>
      <c r="G4" s="27"/>
      <c r="H4" s="27"/>
      <c r="I4" s="27"/>
      <c r="J4" s="27"/>
      <c r="K4" s="27"/>
      <c r="L4" s="27"/>
      <c r="M4" s="27"/>
      <c r="N4" s="27"/>
      <c r="O4" s="27"/>
      <c r="P4" s="27"/>
      <c r="Q4" s="27"/>
      <c r="R4" s="27"/>
      <c r="S4" s="27"/>
      <c r="T4" s="27"/>
      <c r="U4" s="27"/>
      <c r="V4" s="27"/>
      <c r="W4" s="27"/>
      <c r="X4" s="27"/>
    </row>
    <row r="5" spans="1:24">
      <c r="A5" s="27"/>
      <c r="B5" s="27"/>
      <c r="C5" s="27"/>
      <c r="D5" s="27"/>
      <c r="E5" s="27"/>
      <c r="F5" s="27"/>
      <c r="G5" s="27"/>
      <c r="H5" s="27"/>
      <c r="I5" s="27"/>
      <c r="J5" s="27"/>
      <c r="K5" s="27"/>
      <c r="L5" s="27"/>
      <c r="M5" s="27"/>
      <c r="N5" s="27"/>
      <c r="O5" s="27"/>
      <c r="P5" s="27"/>
      <c r="Q5" s="27"/>
      <c r="R5" s="27"/>
      <c r="S5" s="27"/>
      <c r="T5" s="27"/>
      <c r="U5" s="27"/>
      <c r="V5" s="27"/>
      <c r="W5" s="27"/>
      <c r="X5" s="27"/>
    </row>
    <row r="6" spans="1:24">
      <c r="A6" s="27"/>
      <c r="B6" s="27"/>
      <c r="C6" s="27"/>
      <c r="D6" s="27"/>
      <c r="E6" s="27"/>
      <c r="F6" s="27"/>
      <c r="G6" s="27"/>
      <c r="H6" s="27"/>
      <c r="I6" s="27"/>
      <c r="J6" s="27"/>
      <c r="K6" s="27"/>
      <c r="L6" s="27"/>
      <c r="M6" s="27"/>
      <c r="N6" s="27"/>
      <c r="O6" s="27"/>
      <c r="P6" s="27"/>
      <c r="Q6" s="27"/>
      <c r="R6" s="27"/>
      <c r="S6" s="27"/>
      <c r="T6" s="27"/>
      <c r="U6" s="27"/>
      <c r="V6" s="27"/>
      <c r="W6" s="27"/>
      <c r="X6" s="27"/>
    </row>
    <row r="7" spans="1:24">
      <c r="A7" s="27"/>
      <c r="B7" s="27"/>
      <c r="C7" s="27"/>
      <c r="D7" s="27"/>
      <c r="E7" s="27"/>
      <c r="F7" s="27"/>
      <c r="G7" s="27"/>
      <c r="H7" s="27"/>
      <c r="I7" s="27"/>
      <c r="J7" s="27"/>
      <c r="K7" s="27"/>
      <c r="L7" s="27"/>
      <c r="M7" s="27"/>
      <c r="N7" s="27"/>
      <c r="O7" s="27"/>
      <c r="P7" s="27"/>
      <c r="Q7" s="27"/>
      <c r="R7" s="27"/>
      <c r="S7" s="27"/>
      <c r="T7" s="27"/>
      <c r="U7" s="27"/>
      <c r="V7" s="27"/>
      <c r="W7" s="27"/>
      <c r="X7" s="27"/>
    </row>
    <row r="8" spans="1:24">
      <c r="A8" s="27"/>
      <c r="B8" s="27"/>
      <c r="C8" s="27"/>
      <c r="D8" s="27"/>
      <c r="E8" s="27"/>
      <c r="F8" s="27"/>
      <c r="G8" s="27"/>
      <c r="H8" s="27"/>
      <c r="I8" s="27"/>
      <c r="J8" s="27"/>
      <c r="K8" s="27"/>
      <c r="L8" s="27"/>
      <c r="M8" s="27"/>
      <c r="N8" s="27"/>
      <c r="O8" s="27"/>
      <c r="P8" s="27"/>
      <c r="Q8" s="27"/>
      <c r="R8" s="27"/>
      <c r="S8" s="27"/>
      <c r="T8" s="27"/>
      <c r="U8" s="27"/>
      <c r="V8" s="27"/>
      <c r="W8" s="27"/>
      <c r="X8" s="27"/>
    </row>
    <row r="9" spans="1:24">
      <c r="A9" s="27"/>
      <c r="B9" s="27"/>
      <c r="C9" s="27"/>
      <c r="D9" s="27"/>
      <c r="E9" s="27"/>
      <c r="F9" s="27"/>
      <c r="G9" s="27"/>
      <c r="H9" s="27"/>
      <c r="I9" s="27"/>
      <c r="J9" s="27"/>
      <c r="K9" s="27"/>
      <c r="L9" s="27"/>
      <c r="M9" s="27"/>
      <c r="N9" s="27"/>
      <c r="O9" s="27"/>
      <c r="P9" s="27"/>
      <c r="Q9" s="27"/>
      <c r="R9" s="27"/>
      <c r="S9" s="27"/>
      <c r="T9" s="27"/>
      <c r="U9" s="27"/>
      <c r="V9" s="27"/>
      <c r="W9" s="27"/>
      <c r="X9" s="27"/>
    </row>
    <row r="10" spans="1:24">
      <c r="A10" s="27"/>
      <c r="B10" s="27"/>
      <c r="C10" s="27"/>
      <c r="D10" s="27"/>
      <c r="E10" s="27"/>
      <c r="F10" s="27"/>
      <c r="G10" s="27"/>
      <c r="H10" s="27"/>
      <c r="I10" s="27"/>
      <c r="J10" s="27"/>
      <c r="K10" s="27"/>
      <c r="L10" s="27"/>
      <c r="M10" s="27"/>
      <c r="N10" s="27"/>
      <c r="O10" s="27"/>
      <c r="P10" s="27"/>
      <c r="Q10" s="27"/>
      <c r="R10" s="27"/>
      <c r="S10" s="27"/>
      <c r="T10" s="27"/>
      <c r="U10" s="27"/>
      <c r="V10" s="27"/>
      <c r="W10" s="27"/>
      <c r="X10" s="27"/>
    </row>
    <row r="11" spans="1:24">
      <c r="A11" s="27"/>
      <c r="B11" s="27"/>
      <c r="C11" s="27"/>
      <c r="D11" s="27"/>
      <c r="E11" s="27"/>
      <c r="F11" s="27"/>
      <c r="G11" s="27"/>
      <c r="H11" s="27"/>
      <c r="I11" s="27"/>
      <c r="J11" s="27"/>
      <c r="K11" s="27"/>
      <c r="L11" s="27"/>
      <c r="M11" s="27"/>
      <c r="N11" s="27"/>
      <c r="O11" s="27"/>
      <c r="P11" s="27"/>
      <c r="Q11" s="27"/>
      <c r="R11" s="27"/>
      <c r="S11" s="27"/>
      <c r="T11" s="27"/>
      <c r="U11" s="27"/>
      <c r="V11" s="27"/>
      <c r="W11" s="27"/>
      <c r="X11" s="27"/>
    </row>
    <row r="12" spans="1:24">
      <c r="A12" s="27"/>
      <c r="B12" s="27"/>
      <c r="C12" s="27"/>
      <c r="D12" s="27"/>
      <c r="E12" s="27"/>
      <c r="F12" s="27"/>
      <c r="G12" s="27"/>
      <c r="H12" s="27"/>
      <c r="I12" s="27"/>
      <c r="J12" s="27"/>
      <c r="K12" s="27"/>
      <c r="L12" s="27"/>
      <c r="M12" s="27"/>
      <c r="N12" s="27"/>
      <c r="O12" s="27"/>
      <c r="P12" s="27"/>
      <c r="Q12" s="27"/>
      <c r="R12" s="27"/>
      <c r="S12" s="27"/>
      <c r="T12" s="27"/>
      <c r="U12" s="27"/>
      <c r="V12" s="27"/>
      <c r="W12" s="27"/>
      <c r="X12" s="27"/>
    </row>
    <row r="13" spans="1:24">
      <c r="A13" s="27"/>
      <c r="B13" s="27"/>
      <c r="C13" s="27"/>
      <c r="D13" s="27"/>
      <c r="E13" s="27"/>
      <c r="F13" s="27"/>
      <c r="G13" s="27"/>
      <c r="H13" s="27"/>
      <c r="I13" s="27"/>
      <c r="J13" s="27"/>
      <c r="K13" s="27"/>
      <c r="L13" s="27"/>
      <c r="M13" s="27"/>
      <c r="N13" s="27"/>
      <c r="O13" s="27"/>
      <c r="P13" s="27"/>
      <c r="Q13" s="27"/>
      <c r="R13" s="27"/>
      <c r="S13" s="27"/>
      <c r="T13" s="27"/>
      <c r="U13" s="27"/>
      <c r="V13" s="27"/>
      <c r="W13" s="27"/>
      <c r="X13" s="27"/>
    </row>
    <row r="14" spans="1:24">
      <c r="A14" s="27"/>
      <c r="B14" s="27"/>
      <c r="C14" s="27"/>
      <c r="D14" s="27"/>
      <c r="E14" s="27"/>
      <c r="F14" s="27"/>
      <c r="G14" s="27"/>
      <c r="H14" s="27"/>
      <c r="I14" s="27"/>
      <c r="J14" s="27"/>
      <c r="K14" s="27"/>
      <c r="L14" s="27"/>
      <c r="M14" s="27"/>
      <c r="N14" s="27"/>
      <c r="O14" s="27"/>
      <c r="P14" s="27"/>
      <c r="Q14" s="27"/>
      <c r="R14" s="27"/>
      <c r="S14" s="27"/>
      <c r="T14" s="27"/>
      <c r="U14" s="27"/>
      <c r="V14" s="27"/>
      <c r="W14" s="27"/>
      <c r="X14" s="27"/>
    </row>
    <row r="15" spans="1:24">
      <c r="A15" s="27"/>
      <c r="B15" s="27"/>
      <c r="C15" s="27"/>
      <c r="D15" s="27"/>
      <c r="E15" s="27"/>
      <c r="F15" s="27"/>
      <c r="G15" s="27"/>
      <c r="H15" s="27"/>
      <c r="I15" s="27"/>
      <c r="J15" s="27"/>
      <c r="K15" s="27"/>
      <c r="L15" s="27"/>
      <c r="M15" s="27"/>
      <c r="N15" s="27"/>
      <c r="O15" s="27"/>
      <c r="P15" s="27"/>
      <c r="Q15" s="27"/>
      <c r="R15" s="27"/>
      <c r="S15" s="27"/>
      <c r="T15" s="27"/>
      <c r="U15" s="27"/>
      <c r="V15" s="27"/>
      <c r="W15" s="27"/>
      <c r="X15" s="27"/>
    </row>
    <row r="16" spans="1:24">
      <c r="A16" s="27"/>
      <c r="B16" s="27"/>
      <c r="C16" s="27"/>
      <c r="D16" s="27"/>
      <c r="E16" s="27"/>
      <c r="F16" s="27"/>
      <c r="G16" s="27"/>
      <c r="H16" s="27"/>
      <c r="I16" s="27"/>
      <c r="J16" s="27"/>
      <c r="K16" s="27"/>
      <c r="L16" s="27"/>
      <c r="M16" s="27"/>
      <c r="N16" s="27"/>
      <c r="O16" s="27"/>
      <c r="P16" s="27"/>
      <c r="Q16" s="27"/>
      <c r="R16" s="27"/>
      <c r="S16" s="27"/>
      <c r="T16" s="27"/>
      <c r="U16" s="27"/>
      <c r="V16" s="27"/>
      <c r="W16" s="27"/>
      <c r="X16" s="27"/>
    </row>
    <row r="17" spans="1:24">
      <c r="A17" s="27"/>
      <c r="B17" s="27"/>
      <c r="C17" s="27"/>
      <c r="D17" s="27"/>
      <c r="E17" s="27"/>
      <c r="F17" s="27"/>
      <c r="G17" s="27"/>
      <c r="H17" s="27"/>
      <c r="I17" s="27"/>
      <c r="J17" s="27"/>
      <c r="K17" s="27"/>
      <c r="L17" s="27"/>
      <c r="M17" s="27"/>
      <c r="N17" s="27"/>
      <c r="O17" s="27"/>
      <c r="P17" s="27"/>
      <c r="Q17" s="27"/>
      <c r="R17" s="27"/>
      <c r="S17" s="27"/>
      <c r="T17" s="27"/>
      <c r="U17" s="27"/>
      <c r="V17" s="27"/>
      <c r="W17" s="27"/>
      <c r="X17" s="27"/>
    </row>
    <row r="18" spans="1:24">
      <c r="A18" s="27"/>
      <c r="B18" s="27"/>
      <c r="C18" s="27"/>
      <c r="D18" s="27"/>
      <c r="E18" s="27"/>
      <c r="F18" s="27"/>
      <c r="G18" s="27"/>
      <c r="H18" s="27"/>
      <c r="I18" s="27"/>
      <c r="J18" s="27"/>
      <c r="K18" s="27"/>
      <c r="L18" s="27"/>
      <c r="M18" s="27"/>
      <c r="N18" s="27"/>
      <c r="O18" s="27"/>
      <c r="P18" s="27"/>
      <c r="Q18" s="27"/>
      <c r="R18" s="27"/>
      <c r="S18" s="27"/>
      <c r="T18" s="27"/>
      <c r="U18" s="27"/>
      <c r="V18" s="27"/>
      <c r="W18" s="27"/>
      <c r="X18" s="27"/>
    </row>
    <row r="19" spans="1:24">
      <c r="A19" s="27"/>
      <c r="B19" s="27"/>
      <c r="C19" s="27"/>
      <c r="D19" s="27"/>
      <c r="E19" s="27"/>
      <c r="F19" s="27"/>
      <c r="G19" s="27"/>
      <c r="H19" s="27"/>
      <c r="I19" s="27"/>
      <c r="J19" s="27"/>
      <c r="K19" s="27"/>
      <c r="L19" s="27"/>
      <c r="M19" s="27"/>
      <c r="N19" s="27"/>
      <c r="O19" s="27"/>
      <c r="P19" s="27"/>
      <c r="Q19" s="27"/>
      <c r="R19" s="27"/>
      <c r="S19" s="27"/>
      <c r="T19" s="27"/>
      <c r="U19" s="27"/>
      <c r="V19" s="27"/>
      <c r="W19" s="27"/>
      <c r="X19" s="27"/>
    </row>
    <row r="20" spans="1:24">
      <c r="A20" s="27"/>
      <c r="B20" s="27"/>
      <c r="C20" s="27"/>
      <c r="D20" s="27"/>
      <c r="E20" s="27"/>
      <c r="F20" s="27"/>
      <c r="G20" s="27"/>
      <c r="H20" s="27"/>
      <c r="I20" s="27"/>
      <c r="J20" s="27"/>
      <c r="K20" s="27"/>
      <c r="L20" s="27"/>
      <c r="M20" s="27"/>
      <c r="N20" s="27"/>
      <c r="O20" s="27"/>
      <c r="P20" s="27"/>
      <c r="Q20" s="27"/>
      <c r="R20" s="27"/>
      <c r="S20" s="27"/>
      <c r="T20" s="27"/>
      <c r="U20" s="27"/>
      <c r="V20" s="27"/>
      <c r="W20" s="27"/>
      <c r="X20" s="27"/>
    </row>
    <row r="21" spans="1:24">
      <c r="A21" s="27"/>
      <c r="B21" s="27"/>
      <c r="C21" s="27"/>
      <c r="D21" s="27"/>
      <c r="E21" s="27"/>
      <c r="F21" s="27"/>
      <c r="G21" s="27"/>
      <c r="H21" s="27"/>
      <c r="I21" s="27"/>
      <c r="J21" s="27"/>
      <c r="K21" s="27"/>
      <c r="L21" s="27"/>
      <c r="M21" s="27"/>
      <c r="N21" s="27"/>
      <c r="O21" s="27"/>
      <c r="P21" s="27"/>
      <c r="Q21" s="27"/>
      <c r="R21" s="27"/>
      <c r="S21" s="27"/>
      <c r="T21" s="27"/>
      <c r="U21" s="27"/>
      <c r="V21" s="27"/>
      <c r="W21" s="27"/>
      <c r="X21" s="27"/>
    </row>
    <row r="22" spans="1:24">
      <c r="A22" s="27"/>
      <c r="B22" s="27"/>
      <c r="C22" s="27"/>
      <c r="D22" s="27"/>
      <c r="E22" s="27"/>
      <c r="F22" s="27"/>
      <c r="G22" s="27"/>
      <c r="H22" s="27"/>
      <c r="I22" s="27"/>
      <c r="J22" s="27"/>
      <c r="K22" s="27"/>
      <c r="L22" s="27"/>
      <c r="M22" s="27"/>
      <c r="N22" s="27"/>
      <c r="O22" s="27"/>
      <c r="P22" s="27"/>
      <c r="Q22" s="27"/>
      <c r="R22" s="27"/>
      <c r="S22" s="27"/>
      <c r="T22" s="27"/>
      <c r="U22" s="27"/>
      <c r="V22" s="27"/>
      <c r="W22" s="27"/>
      <c r="X22" s="27"/>
    </row>
    <row r="23" spans="1:24">
      <c r="A23" s="27"/>
      <c r="B23" s="27"/>
      <c r="C23" s="27"/>
      <c r="D23" s="27"/>
      <c r="E23" s="27"/>
      <c r="F23" s="27"/>
      <c r="G23" s="27"/>
      <c r="H23" s="27"/>
      <c r="I23" s="27"/>
      <c r="J23" s="27"/>
      <c r="K23" s="27"/>
      <c r="L23" s="27"/>
      <c r="M23" s="27"/>
      <c r="N23" s="27"/>
      <c r="O23" s="27"/>
      <c r="P23" s="27"/>
      <c r="Q23" s="27"/>
      <c r="R23" s="27"/>
      <c r="S23" s="27"/>
      <c r="T23" s="27"/>
      <c r="U23" s="27"/>
      <c r="V23" s="27"/>
      <c r="W23" s="27"/>
      <c r="X23" s="27"/>
    </row>
    <row r="24" spans="1:24">
      <c r="A24" s="27"/>
      <c r="B24" s="27"/>
      <c r="C24" s="27"/>
      <c r="D24" s="27"/>
      <c r="E24" s="27"/>
      <c r="F24" s="27"/>
      <c r="G24" s="27"/>
      <c r="H24" s="27"/>
      <c r="I24" s="27"/>
      <c r="J24" s="27"/>
      <c r="K24" s="27"/>
      <c r="L24" s="27"/>
      <c r="M24" s="27"/>
      <c r="N24" s="27"/>
      <c r="O24" s="27"/>
      <c r="P24" s="27"/>
      <c r="Q24" s="27"/>
      <c r="R24" s="27"/>
      <c r="S24" s="27"/>
      <c r="T24" s="27"/>
      <c r="U24" s="27"/>
      <c r="V24" s="27"/>
      <c r="W24" s="27"/>
      <c r="X24" s="27"/>
    </row>
    <row r="25" spans="1:24">
      <c r="A25" s="27"/>
      <c r="B25" s="27"/>
      <c r="C25" s="27"/>
      <c r="D25" s="27"/>
      <c r="E25" s="27"/>
      <c r="F25" s="27"/>
      <c r="G25" s="27"/>
      <c r="H25" s="27"/>
      <c r="I25" s="27"/>
      <c r="J25" s="27"/>
      <c r="K25" s="27"/>
      <c r="L25" s="27"/>
      <c r="M25" s="27"/>
      <c r="N25" s="27"/>
      <c r="O25" s="27"/>
      <c r="P25" s="27"/>
      <c r="Q25" s="27"/>
      <c r="R25" s="27"/>
      <c r="S25" s="27"/>
      <c r="T25" s="27"/>
      <c r="U25" s="27"/>
      <c r="V25" s="27"/>
      <c r="W25" s="27"/>
      <c r="X25" s="27"/>
    </row>
    <row r="26" spans="1:24">
      <c r="A26" s="27"/>
      <c r="B26" s="27"/>
      <c r="C26" s="27"/>
      <c r="D26" s="27"/>
      <c r="E26" s="27"/>
      <c r="F26" s="27"/>
      <c r="G26" s="27"/>
      <c r="H26" s="27"/>
      <c r="I26" s="27"/>
      <c r="J26" s="27"/>
      <c r="K26" s="27"/>
      <c r="L26" s="27"/>
      <c r="M26" s="27"/>
      <c r="N26" s="27"/>
      <c r="O26" s="27"/>
      <c r="P26" s="27"/>
      <c r="Q26" s="27"/>
      <c r="R26" s="27"/>
      <c r="S26" s="27"/>
      <c r="T26" s="27"/>
      <c r="U26" s="27"/>
      <c r="V26" s="27"/>
      <c r="W26" s="27"/>
      <c r="X26" s="27"/>
    </row>
    <row r="27" spans="1:24">
      <c r="A27" s="27"/>
      <c r="B27" s="27"/>
      <c r="C27" s="27"/>
      <c r="D27" s="27"/>
      <c r="E27" s="27"/>
      <c r="F27" s="27"/>
      <c r="G27" s="27"/>
      <c r="H27" s="27"/>
      <c r="I27" s="27"/>
      <c r="J27" s="27"/>
      <c r="K27" s="27"/>
      <c r="L27" s="27"/>
      <c r="M27" s="27"/>
      <c r="N27" s="27"/>
      <c r="O27" s="27"/>
      <c r="P27" s="27"/>
      <c r="Q27" s="27"/>
      <c r="R27" s="27"/>
      <c r="S27" s="27"/>
      <c r="T27" s="27"/>
      <c r="U27" s="27"/>
      <c r="V27" s="27"/>
      <c r="W27" s="27"/>
      <c r="X27" s="27"/>
    </row>
    <row r="28" spans="1:24">
      <c r="A28" s="27"/>
      <c r="B28" s="27"/>
      <c r="C28" s="27"/>
      <c r="D28" s="27"/>
      <c r="E28" s="27"/>
      <c r="F28" s="27"/>
      <c r="G28" s="27"/>
      <c r="H28" s="27"/>
      <c r="I28" s="27"/>
      <c r="J28" s="27"/>
      <c r="K28" s="27"/>
      <c r="L28" s="27"/>
      <c r="M28" s="27"/>
      <c r="N28" s="27"/>
      <c r="O28" s="27"/>
      <c r="P28" s="27"/>
      <c r="Q28" s="27"/>
      <c r="R28" s="27"/>
      <c r="S28" s="27"/>
      <c r="T28" s="27"/>
      <c r="U28" s="27"/>
      <c r="V28" s="27"/>
      <c r="W28" s="27"/>
      <c r="X28" s="27"/>
    </row>
    <row r="29" spans="1:24">
      <c r="A29" s="27"/>
      <c r="B29" s="27"/>
      <c r="C29" s="27"/>
      <c r="D29" s="27"/>
      <c r="E29" s="27"/>
      <c r="F29" s="27"/>
      <c r="G29" s="27"/>
      <c r="H29" s="27"/>
      <c r="I29" s="27"/>
      <c r="J29" s="27"/>
      <c r="K29" s="27"/>
      <c r="L29" s="27"/>
      <c r="M29" s="27"/>
      <c r="N29" s="27"/>
      <c r="O29" s="27"/>
      <c r="P29" s="27"/>
      <c r="Q29" s="27"/>
      <c r="R29" s="27"/>
      <c r="S29" s="27"/>
      <c r="T29" s="27"/>
      <c r="U29" s="27"/>
      <c r="V29" s="27"/>
      <c r="W29" s="27"/>
      <c r="X29" s="27"/>
    </row>
  </sheetData>
  <mergeCells count="1">
    <mergeCell ref="A1:X2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11"/>
  <sheetViews>
    <sheetView workbookViewId="0">
      <selection activeCell="N294" sqref="N294"/>
    </sheetView>
  </sheetViews>
  <sheetFormatPr defaultColWidth="8.88671875" defaultRowHeight="14.4"/>
  <cols>
    <col min="1" max="1" width="11.33203125" customWidth="1"/>
    <col min="2" max="2" width="14.5546875" customWidth="1"/>
    <col min="3" max="3" width="13.77734375" customWidth="1"/>
  </cols>
  <sheetData>
    <row r="1" spans="1:5" ht="18">
      <c r="A1" s="1" t="s">
        <v>151</v>
      </c>
    </row>
    <row r="3" spans="1:5">
      <c r="A3" t="s">
        <v>152</v>
      </c>
    </row>
    <row r="4" spans="1:5">
      <c r="A4" s="2"/>
    </row>
    <row r="5" spans="1:5">
      <c r="A5" s="2" t="s">
        <v>153</v>
      </c>
    </row>
    <row r="6" spans="1:5">
      <c r="A6" s="2"/>
    </row>
    <row r="7" spans="1:5">
      <c r="A7" s="18" t="s">
        <v>709</v>
      </c>
    </row>
    <row r="8" spans="1:5">
      <c r="A8" s="2"/>
    </row>
    <row r="9" spans="1:5">
      <c r="A9" s="2" t="s">
        <v>155</v>
      </c>
    </row>
    <row r="11" spans="1:5">
      <c r="A11" s="5" t="s">
        <v>0</v>
      </c>
      <c r="B11" s="19" t="s">
        <v>1</v>
      </c>
      <c r="C11" t="s">
        <v>189</v>
      </c>
      <c r="E11" s="4" t="s">
        <v>710</v>
      </c>
    </row>
    <row r="12" spans="1:5">
      <c r="A12" s="16" t="s">
        <v>101</v>
      </c>
      <c r="B12" t="str">
        <f>VLOOKUP(A12,Table1[[#All],[StudentID]:[StudentName]],5,0)</f>
        <v>Priya Verma</v>
      </c>
      <c r="C12">
        <f>VLOOKUP(A12,Table1[[#All],[StudentID]:[Average GPA]],3,0)</f>
        <v>10</v>
      </c>
      <c r="E12" t="s">
        <v>75</v>
      </c>
    </row>
    <row r="13" spans="1:5">
      <c r="A13" s="16" t="s">
        <v>19</v>
      </c>
      <c r="B13" t="str">
        <f>VLOOKUP(A13,Table1[[#All],[StudentID]:[StudentName]],5,0)</f>
        <v>Sara Khan</v>
      </c>
      <c r="C13">
        <f>VLOOKUP(A13,Table1[[#All],[StudentID]:[Average GPA]],3,0)</f>
        <v>10</v>
      </c>
      <c r="E13" t="s">
        <v>20</v>
      </c>
    </row>
    <row r="14" spans="1:5">
      <c r="A14" s="20" t="s">
        <v>72</v>
      </c>
      <c r="B14" t="str">
        <f>VLOOKUP(A14,Table1[[#All],[StudentID]:[StudentName]],5,0)</f>
        <v>Nisha Gupta</v>
      </c>
      <c r="C14">
        <f>VLOOKUP(A14,Table1[[#All],[StudentID]:[Average GPA]],3,0)</f>
        <v>10</v>
      </c>
      <c r="E14" t="s">
        <v>6</v>
      </c>
    </row>
    <row r="15" spans="1:5">
      <c r="A15" s="16" t="s">
        <v>106</v>
      </c>
      <c r="B15" t="str">
        <f>VLOOKUP(A15,Table1[[#All],[StudentID]:[StudentName]],5,0)</f>
        <v>Sneha Patil</v>
      </c>
      <c r="C15">
        <f>VLOOKUP(A15,Table1[[#All],[StudentID]:[Average GPA]],3,0)</f>
        <v>10</v>
      </c>
      <c r="E15" t="s">
        <v>10</v>
      </c>
    </row>
    <row r="16" spans="1:5">
      <c r="A16" s="20" t="s">
        <v>49</v>
      </c>
      <c r="B16" t="str">
        <f>VLOOKUP(A16,Table1[[#All],[StudentID]:[StudentName]],5,0)</f>
        <v>John Smith</v>
      </c>
      <c r="C16">
        <f>VLOOKUP(A16,Table1[[#All],[StudentID]:[Average GPA]],3,0)</f>
        <v>10</v>
      </c>
      <c r="E16" t="s">
        <v>50</v>
      </c>
    </row>
    <row r="17" spans="1:5">
      <c r="A17" s="16" t="s">
        <v>98</v>
      </c>
      <c r="B17" t="str">
        <f>VLOOKUP(A17,Table1[[#All],[StudentID]:[StudentName]],5,0)</f>
        <v>Emily Davis</v>
      </c>
      <c r="C17">
        <f>VLOOKUP(A17,Table1[[#All],[StudentID]:[Average GPA]],3,0)</f>
        <v>10</v>
      </c>
      <c r="E17" t="s">
        <v>17</v>
      </c>
    </row>
    <row r="18" spans="1:5">
      <c r="A18" s="16" t="s">
        <v>122</v>
      </c>
      <c r="B18" t="str">
        <f>VLOOKUP(A18,Table1[[#All],[StudentID]:[StudentName]],5,0)</f>
        <v>James Clark</v>
      </c>
      <c r="C18">
        <f>VLOOKUP(A18,Table1[[#All],[StudentID]:[Average GPA]],3,0)</f>
        <v>10</v>
      </c>
      <c r="E18" t="s">
        <v>47</v>
      </c>
    </row>
    <row r="19" spans="1:5">
      <c r="A19" s="20" t="s">
        <v>53</v>
      </c>
      <c r="B19" t="str">
        <f>VLOOKUP(A19,Table1[[#All],[StudentID]:[StudentName]],5,0)</f>
        <v>Sophia Wilson</v>
      </c>
      <c r="C19">
        <f>VLOOKUP(A19,Table1[[#All],[StudentID]:[Average GPA]],3,0)</f>
        <v>10</v>
      </c>
      <c r="E19" t="s">
        <v>37</v>
      </c>
    </row>
    <row r="20" spans="1:5">
      <c r="A20" s="20" t="s">
        <v>101</v>
      </c>
      <c r="B20" t="str">
        <f>VLOOKUP(A20,Table1[[#All],[StudentID]:[StudentName]],5,0)</f>
        <v>Priya Verma</v>
      </c>
      <c r="C20">
        <f>VLOOKUP(A20,Table1[[#All],[StudentID]:[Average GPA]],3,0)</f>
        <v>10</v>
      </c>
      <c r="E20" t="s">
        <v>22</v>
      </c>
    </row>
    <row r="21" spans="1:5">
      <c r="A21" s="20" t="s">
        <v>111</v>
      </c>
      <c r="B21" t="str">
        <f>VLOOKUP(A21,Table1[[#All],[StudentID]:[StudentName]],5,0)</f>
        <v>Priya Verma</v>
      </c>
      <c r="C21">
        <f>VLOOKUP(A21,Table1[[#All],[StudentID]:[Average GPA]],3,0)</f>
        <v>10</v>
      </c>
      <c r="E21" t="s">
        <v>25</v>
      </c>
    </row>
    <row r="22" spans="1:5">
      <c r="A22" s="16" t="s">
        <v>98</v>
      </c>
      <c r="B22" t="str">
        <f>VLOOKUP(A22,Table1[[#All],[StudentID]:[StudentName]],5,0)</f>
        <v>Emily Davis</v>
      </c>
      <c r="C22">
        <f>VLOOKUP(A22,Table1[[#All],[StudentID]:[Average GPA]],3,0)</f>
        <v>10</v>
      </c>
      <c r="E22" t="s">
        <v>14</v>
      </c>
    </row>
    <row r="23" spans="1:5">
      <c r="A23" s="16" t="s">
        <v>98</v>
      </c>
      <c r="B23" t="str">
        <f>VLOOKUP(A23,Table1[[#All],[StudentID]:[StudentName]],5,0)</f>
        <v>Emily Davis</v>
      </c>
      <c r="C23">
        <f>VLOOKUP(A23,Table1[[#All],[StudentID]:[Average GPA]],3,0)</f>
        <v>10</v>
      </c>
    </row>
    <row r="24" spans="1:5">
      <c r="A24" s="16" t="s">
        <v>53</v>
      </c>
      <c r="B24" t="str">
        <f>VLOOKUP(A24,Table1[[#All],[StudentID]:[StudentName]],5,0)</f>
        <v>Sophia Wilson</v>
      </c>
      <c r="C24">
        <f>VLOOKUP(A24,Table1[[#All],[StudentID]:[Average GPA]],3,0)</f>
        <v>10</v>
      </c>
    </row>
    <row r="25" spans="1:5">
      <c r="A25" s="20" t="s">
        <v>111</v>
      </c>
      <c r="B25" t="str">
        <f>VLOOKUP(A25,Table1[[#All],[StudentID]:[StudentName]],5,0)</f>
        <v>Priya Verma</v>
      </c>
      <c r="C25">
        <f>VLOOKUP(A25,Table1[[#All],[StudentID]:[Average GPA]],3,0)</f>
        <v>10</v>
      </c>
    </row>
    <row r="26" spans="1:5">
      <c r="A26" s="20" t="s">
        <v>122</v>
      </c>
      <c r="B26" t="str">
        <f>VLOOKUP(A26,Table1[[#All],[StudentID]:[StudentName]],5,0)</f>
        <v>James Clark</v>
      </c>
      <c r="C26">
        <f>VLOOKUP(A26,Table1[[#All],[StudentID]:[Average GPA]],3,0)</f>
        <v>10</v>
      </c>
    </row>
    <row r="27" spans="1:5">
      <c r="A27" s="16" t="s">
        <v>72</v>
      </c>
      <c r="B27" t="str">
        <f>VLOOKUP(A27,Table1[[#All],[StudentID]:[StudentName]],5,0)</f>
        <v>Nisha Gupta</v>
      </c>
      <c r="C27">
        <f>VLOOKUP(A27,Table1[[#All],[StudentID]:[Average GPA]],3,0)</f>
        <v>10</v>
      </c>
    </row>
    <row r="28" spans="1:5">
      <c r="A28" s="16" t="s">
        <v>19</v>
      </c>
      <c r="B28" t="str">
        <f>VLOOKUP(A28,Table1[[#All],[StudentID]:[StudentName]],5,0)</f>
        <v>Sara Khan</v>
      </c>
      <c r="C28">
        <f>VLOOKUP(A28,Table1[[#All],[StudentID]:[Average GPA]],3,0)</f>
        <v>10</v>
      </c>
    </row>
    <row r="29" spans="1:5">
      <c r="A29" s="16" t="s">
        <v>45</v>
      </c>
      <c r="B29" t="str">
        <f>VLOOKUP(A29,Table1[[#All],[StudentID]:[StudentName]],5,0)</f>
        <v>Robert Taylor</v>
      </c>
      <c r="C29">
        <f>VLOOKUP(A29,Table1[[#All],[StudentID]:[Average GPA]],3,0)</f>
        <v>10</v>
      </c>
    </row>
    <row r="30" spans="1:5">
      <c r="A30" s="20" t="s">
        <v>108</v>
      </c>
      <c r="B30" t="str">
        <f>VLOOKUP(A30,Table1[[#All],[StudentID]:[StudentName]],5,0)</f>
        <v>Robert Taylor</v>
      </c>
      <c r="C30">
        <f>VLOOKUP(A30,Table1[[#All],[StudentID]:[Average GPA]],3,0)</f>
        <v>10</v>
      </c>
    </row>
    <row r="31" spans="1:5">
      <c r="A31" s="16" t="s">
        <v>111</v>
      </c>
      <c r="B31" t="str">
        <f>VLOOKUP(A31,Table1[[#All],[StudentID]:[StudentName]],5,0)</f>
        <v>Priya Verma</v>
      </c>
      <c r="C31">
        <f>VLOOKUP(A31,Table1[[#All],[StudentID]:[Average GPA]],3,0)</f>
        <v>10</v>
      </c>
    </row>
    <row r="32" spans="1:5">
      <c r="A32" s="16" t="s">
        <v>106</v>
      </c>
      <c r="B32" t="str">
        <f>VLOOKUP(A32,Table1[[#All],[StudentID]:[StudentName]],5,0)</f>
        <v>Sneha Patil</v>
      </c>
      <c r="C32">
        <f>VLOOKUP(A32,Table1[[#All],[StudentID]:[Average GPA]],3,0)</f>
        <v>10</v>
      </c>
    </row>
    <row r="33" spans="1:3">
      <c r="A33" s="20" t="s">
        <v>19</v>
      </c>
      <c r="B33" t="str">
        <f>VLOOKUP(A33,Table1[[#All],[StudentID]:[StudentName]],5,0)</f>
        <v>Sara Khan</v>
      </c>
      <c r="C33">
        <f>VLOOKUP(A33,Table1[[#All],[StudentID]:[Average GPA]],3,0)</f>
        <v>10</v>
      </c>
    </row>
    <row r="34" spans="1:3">
      <c r="A34" s="20" t="s">
        <v>106</v>
      </c>
      <c r="B34" t="str">
        <f>VLOOKUP(A34,Table1[[#All],[StudentID]:[StudentName]],5,0)</f>
        <v>Sneha Patil</v>
      </c>
      <c r="C34">
        <f>VLOOKUP(A34,Table1[[#All],[StudentID]:[Average GPA]],3,0)</f>
        <v>10</v>
      </c>
    </row>
    <row r="35" spans="1:3">
      <c r="A35" s="16" t="s">
        <v>106</v>
      </c>
      <c r="B35" t="str">
        <f>VLOOKUP(A35,Table1[[#All],[StudentID]:[StudentName]],5,0)</f>
        <v>Sneha Patil</v>
      </c>
      <c r="C35">
        <f>VLOOKUP(A35,Table1[[#All],[StudentID]:[Average GPA]],3,0)</f>
        <v>10</v>
      </c>
    </row>
    <row r="36" spans="1:3">
      <c r="A36" s="20" t="s">
        <v>115</v>
      </c>
      <c r="B36" t="str">
        <f>VLOOKUP(A36,Table1[[#All],[StudentID]:[StudentName]],5,0)</f>
        <v>Sophia Wilson</v>
      </c>
      <c r="C36">
        <f>VLOOKUP(A36,Table1[[#All],[StudentID]:[Average GPA]],3,0)</f>
        <v>10</v>
      </c>
    </row>
    <row r="37" spans="1:3">
      <c r="A37" s="20" t="s">
        <v>44</v>
      </c>
      <c r="B37" t="str">
        <f>VLOOKUP(A37,Table1[[#All],[StudentID]:[StudentName]],5,0)</f>
        <v>Sophia Wilson</v>
      </c>
      <c r="C37">
        <f>VLOOKUP(A37,Table1[[#All],[StudentID]:[Average GPA]],3,0)</f>
        <v>10</v>
      </c>
    </row>
    <row r="38" spans="1:3">
      <c r="A38" s="16" t="s">
        <v>106</v>
      </c>
      <c r="B38" t="str">
        <f>VLOOKUP(A38,Table1[[#All],[StudentID]:[StudentName]],5,0)</f>
        <v>Sneha Patil</v>
      </c>
      <c r="C38">
        <f>VLOOKUP(A38,Table1[[#All],[StudentID]:[Average GPA]],3,0)</f>
        <v>10</v>
      </c>
    </row>
    <row r="39" spans="1:3">
      <c r="A39" s="20" t="s">
        <v>108</v>
      </c>
      <c r="B39" t="str">
        <f>VLOOKUP(A39,Table1[[#All],[StudentID]:[StudentName]],5,0)</f>
        <v>Robert Taylor</v>
      </c>
      <c r="C39">
        <f>VLOOKUP(A39,Table1[[#All],[StudentID]:[Average GPA]],3,0)</f>
        <v>10</v>
      </c>
    </row>
    <row r="40" spans="1:3">
      <c r="A40" s="20" t="s">
        <v>111</v>
      </c>
      <c r="B40" t="str">
        <f>VLOOKUP(A40,Table1[[#All],[StudentID]:[StudentName]],5,0)</f>
        <v>Priya Verma</v>
      </c>
      <c r="C40">
        <f>VLOOKUP(A40,Table1[[#All],[StudentID]:[Average GPA]],3,0)</f>
        <v>10</v>
      </c>
    </row>
    <row r="41" spans="1:3">
      <c r="A41" s="16" t="s">
        <v>53</v>
      </c>
      <c r="B41" t="str">
        <f>VLOOKUP(A41,Table1[[#All],[StudentID]:[StudentName]],5,0)</f>
        <v>Sophia Wilson</v>
      </c>
      <c r="C41">
        <f>VLOOKUP(A41,Table1[[#All],[StudentID]:[Average GPA]],3,0)</f>
        <v>10</v>
      </c>
    </row>
    <row r="42" spans="1:3">
      <c r="A42" s="20" t="s">
        <v>120</v>
      </c>
      <c r="B42" t="str">
        <f>VLOOKUP(A42,Table1[[#All],[StudentID]:[StudentName]],5,0)</f>
        <v>Emily Davis</v>
      </c>
      <c r="C42">
        <f>VLOOKUP(A42,Table1[[#All],[StudentID]:[Average GPA]],3,0)</f>
        <v>10</v>
      </c>
    </row>
    <row r="43" spans="1:3">
      <c r="A43" s="16" t="s">
        <v>44</v>
      </c>
      <c r="B43" t="str">
        <f>VLOOKUP(A43,Table1[[#All],[StudentID]:[StudentName]],5,0)</f>
        <v>Sophia Wilson</v>
      </c>
      <c r="C43">
        <f>VLOOKUP(A43,Table1[[#All],[StudentID]:[Average GPA]],3,0)</f>
        <v>10</v>
      </c>
    </row>
    <row r="44" spans="1:3">
      <c r="A44" s="20" t="s">
        <v>122</v>
      </c>
      <c r="B44" t="str">
        <f>VLOOKUP(A44,Table1[[#All],[StudentID]:[StudentName]],5,0)</f>
        <v>James Clark</v>
      </c>
      <c r="C44">
        <f>VLOOKUP(A44,Table1[[#All],[StudentID]:[Average GPA]],3,0)</f>
        <v>10</v>
      </c>
    </row>
    <row r="45" spans="1:3">
      <c r="A45" s="20" t="s">
        <v>98</v>
      </c>
      <c r="B45" t="str">
        <f>VLOOKUP(A45,Table1[[#All],[StudentID]:[StudentName]],5,0)</f>
        <v>Emily Davis</v>
      </c>
      <c r="C45">
        <f>VLOOKUP(A45,Table1[[#All],[StudentID]:[Average GPA]],3,0)</f>
        <v>10</v>
      </c>
    </row>
    <row r="46" spans="1:3">
      <c r="A46" s="16" t="s">
        <v>108</v>
      </c>
      <c r="B46" t="str">
        <f>VLOOKUP(A46,Table1[[#All],[StudentID]:[StudentName]],5,0)</f>
        <v>Robert Taylor</v>
      </c>
      <c r="C46">
        <f>VLOOKUP(A46,Table1[[#All],[StudentID]:[Average GPA]],3,0)</f>
        <v>10</v>
      </c>
    </row>
    <row r="47" spans="1:3">
      <c r="A47" s="20" t="s">
        <v>90</v>
      </c>
      <c r="B47" t="str">
        <f>VLOOKUP(A47,Table1[[#All],[StudentID]:[StudentName]],5,0)</f>
        <v>James Clark</v>
      </c>
      <c r="C47">
        <f>VLOOKUP(A47,Table1[[#All],[StudentID]:[Average GPA]],3,0)</f>
        <v>10</v>
      </c>
    </row>
    <row r="48" spans="1:3">
      <c r="A48" s="20" t="s">
        <v>45</v>
      </c>
      <c r="B48" t="str">
        <f>VLOOKUP(A48,Table1[[#All],[StudentID]:[StudentName]],5,0)</f>
        <v>Robert Taylor</v>
      </c>
      <c r="C48">
        <f>VLOOKUP(A48,Table1[[#All],[StudentID]:[Average GPA]],3,0)</f>
        <v>10</v>
      </c>
    </row>
    <row r="49" spans="1:3">
      <c r="A49" s="20" t="s">
        <v>122</v>
      </c>
      <c r="B49" t="str">
        <f>VLOOKUP(A49,Table1[[#All],[StudentID]:[StudentName]],5,0)</f>
        <v>James Clark</v>
      </c>
      <c r="C49">
        <f>VLOOKUP(A49,Table1[[#All],[StudentID]:[Average GPA]],3,0)</f>
        <v>10</v>
      </c>
    </row>
    <row r="50" spans="1:3">
      <c r="A50" s="16" t="s">
        <v>120</v>
      </c>
      <c r="B50" t="str">
        <f>VLOOKUP(A50,Table1[[#All],[StudentID]:[StudentName]],5,0)</f>
        <v>Emily Davis</v>
      </c>
      <c r="C50">
        <f>VLOOKUP(A50,Table1[[#All],[StudentID]:[Average GPA]],3,0)</f>
        <v>10</v>
      </c>
    </row>
    <row r="51" spans="1:3">
      <c r="A51" s="20" t="s">
        <v>120</v>
      </c>
      <c r="B51" t="str">
        <f>VLOOKUP(A51,Table1[[#All],[StudentID]:[StudentName]],5,0)</f>
        <v>Emily Davis</v>
      </c>
      <c r="C51">
        <f>VLOOKUP(A51,Table1[[#All],[StudentID]:[Average GPA]],3,0)</f>
        <v>10</v>
      </c>
    </row>
    <row r="52" spans="1:3">
      <c r="A52" s="20" t="s">
        <v>122</v>
      </c>
      <c r="B52" t="str">
        <f>VLOOKUP(A52,Table1[[#All],[StudentID]:[StudentName]],5,0)</f>
        <v>James Clark</v>
      </c>
      <c r="C52">
        <f>VLOOKUP(A52,Table1[[#All],[StudentID]:[Average GPA]],3,0)</f>
        <v>10</v>
      </c>
    </row>
    <row r="53" spans="1:3">
      <c r="A53" s="20" t="s">
        <v>111</v>
      </c>
      <c r="B53" t="str">
        <f>VLOOKUP(A53,Table1[[#All],[StudentID]:[StudentName]],5,0)</f>
        <v>Priya Verma</v>
      </c>
      <c r="C53">
        <f>VLOOKUP(A53,Table1[[#All],[StudentID]:[Average GPA]],3,0)</f>
        <v>10</v>
      </c>
    </row>
    <row r="54" spans="1:3">
      <c r="A54" s="20" t="s">
        <v>104</v>
      </c>
      <c r="B54" t="str">
        <f>VLOOKUP(A54,Table1[[#All],[StudentID]:[StudentName]],5,0)</f>
        <v>Amit Kumar</v>
      </c>
      <c r="C54">
        <f>VLOOKUP(A54,Table1[[#All],[StudentID]:[Average GPA]],3,0)</f>
        <v>10</v>
      </c>
    </row>
    <row r="55" spans="1:3">
      <c r="A55" s="20" t="s">
        <v>122</v>
      </c>
      <c r="B55" t="str">
        <f>VLOOKUP(A55,Table1[[#All],[StudentID]:[StudentName]],5,0)</f>
        <v>James Clark</v>
      </c>
      <c r="C55">
        <f>VLOOKUP(A55,Table1[[#All],[StudentID]:[Average GPA]],3,0)</f>
        <v>10</v>
      </c>
    </row>
    <row r="56" spans="1:3">
      <c r="A56" s="16" t="s">
        <v>111</v>
      </c>
      <c r="B56" t="str">
        <f>VLOOKUP(A56,Table1[[#All],[StudentID]:[StudentName]],5,0)</f>
        <v>Priya Verma</v>
      </c>
      <c r="C56">
        <f>VLOOKUP(A56,Table1[[#All],[StudentID]:[Average GPA]],3,0)</f>
        <v>10</v>
      </c>
    </row>
    <row r="57" spans="1:3">
      <c r="A57" s="16" t="s">
        <v>19</v>
      </c>
      <c r="B57" t="str">
        <f>VLOOKUP(A57,Table1[[#All],[StudentID]:[StudentName]],5,0)</f>
        <v>Sara Khan</v>
      </c>
      <c r="C57">
        <f>VLOOKUP(A57,Table1[[#All],[StudentID]:[Average GPA]],3,0)</f>
        <v>10</v>
      </c>
    </row>
    <row r="58" spans="1:3">
      <c r="A58" s="16" t="s">
        <v>122</v>
      </c>
      <c r="B58" t="str">
        <f>VLOOKUP(A58,Table1[[#All],[StudentID]:[StudentName]],5,0)</f>
        <v>James Clark</v>
      </c>
      <c r="C58">
        <f>VLOOKUP(A58,Table1[[#All],[StudentID]:[Average GPA]],3,0)</f>
        <v>10</v>
      </c>
    </row>
    <row r="59" spans="1:3">
      <c r="A59" s="20" t="s">
        <v>106</v>
      </c>
      <c r="B59" t="str">
        <f>VLOOKUP(A59,Table1[[#All],[StudentID]:[StudentName]],5,0)</f>
        <v>Sneha Patil</v>
      </c>
      <c r="C59">
        <f>VLOOKUP(A59,Table1[[#All],[StudentID]:[Average GPA]],3,0)</f>
        <v>10</v>
      </c>
    </row>
    <row r="60" spans="1:3">
      <c r="A60" s="20" t="s">
        <v>104</v>
      </c>
      <c r="B60" t="str">
        <f>VLOOKUP(A60,Table1[[#All],[StudentID]:[StudentName]],5,0)</f>
        <v>Amit Kumar</v>
      </c>
      <c r="C60">
        <f>VLOOKUP(A60,Table1[[#All],[StudentID]:[Average GPA]],3,0)</f>
        <v>10</v>
      </c>
    </row>
    <row r="61" spans="1:3">
      <c r="A61" s="16" t="s">
        <v>104</v>
      </c>
      <c r="B61" t="str">
        <f>VLOOKUP(A61,Table1[[#All],[StudentID]:[StudentName]],5,0)</f>
        <v>Amit Kumar</v>
      </c>
      <c r="C61">
        <f>VLOOKUP(A61,Table1[[#All],[StudentID]:[Average GPA]],3,0)</f>
        <v>10</v>
      </c>
    </row>
    <row r="62" spans="1:3">
      <c r="A62" s="20" t="s">
        <v>19</v>
      </c>
      <c r="B62" t="str">
        <f>VLOOKUP(A62,Table1[[#All],[StudentID]:[StudentName]],5,0)</f>
        <v>Sara Khan</v>
      </c>
      <c r="C62">
        <f>VLOOKUP(A62,Table1[[#All],[StudentID]:[Average GPA]],3,0)</f>
        <v>10</v>
      </c>
    </row>
    <row r="63" spans="1:3">
      <c r="A63" s="20" t="s">
        <v>72</v>
      </c>
      <c r="B63" t="str">
        <f>VLOOKUP(A63,Table1[[#All],[StudentID]:[StudentName]],5,0)</f>
        <v>Nisha Gupta</v>
      </c>
      <c r="C63">
        <f>VLOOKUP(A63,Table1[[#All],[StudentID]:[Average GPA]],3,0)</f>
        <v>10</v>
      </c>
    </row>
    <row r="64" spans="1:3">
      <c r="A64" s="20" t="s">
        <v>111</v>
      </c>
      <c r="B64" t="str">
        <f>VLOOKUP(A64,Table1[[#All],[StudentID]:[StudentName]],5,0)</f>
        <v>Priya Verma</v>
      </c>
      <c r="C64">
        <f>VLOOKUP(A64,Table1[[#All],[StudentID]:[Average GPA]],3,0)</f>
        <v>10</v>
      </c>
    </row>
    <row r="65" spans="1:3">
      <c r="A65" s="16" t="s">
        <v>19</v>
      </c>
      <c r="B65" t="str">
        <f>VLOOKUP(A65,Table1[[#All],[StudentID]:[StudentName]],5,0)</f>
        <v>Sara Khan</v>
      </c>
      <c r="C65">
        <f>VLOOKUP(A65,Table1[[#All],[StudentID]:[Average GPA]],3,0)</f>
        <v>10</v>
      </c>
    </row>
    <row r="66" spans="1:3">
      <c r="A66" s="20" t="s">
        <v>108</v>
      </c>
      <c r="B66" t="str">
        <f>VLOOKUP(A66,Table1[[#All],[StudentID]:[StudentName]],5,0)</f>
        <v>Robert Taylor</v>
      </c>
      <c r="C66">
        <f>VLOOKUP(A66,Table1[[#All],[StudentID]:[Average GPA]],3,0)</f>
        <v>10</v>
      </c>
    </row>
    <row r="67" spans="1:3">
      <c r="A67" s="16" t="s">
        <v>19</v>
      </c>
      <c r="B67" t="str">
        <f>VLOOKUP(A67,Table1[[#All],[StudentID]:[StudentName]],5,0)</f>
        <v>Sara Khan</v>
      </c>
      <c r="C67">
        <f>VLOOKUP(A67,Table1[[#All],[StudentID]:[Average GPA]],3,0)</f>
        <v>10</v>
      </c>
    </row>
    <row r="68" spans="1:3">
      <c r="A68" s="16" t="s">
        <v>49</v>
      </c>
      <c r="B68" t="str">
        <f>VLOOKUP(A68,Table1[[#All],[StudentID]:[StudentName]],5,0)</f>
        <v>John Smith</v>
      </c>
      <c r="C68">
        <f>VLOOKUP(A68,Table1[[#All],[StudentID]:[Average GPA]],3,0)</f>
        <v>10</v>
      </c>
    </row>
    <row r="69" spans="1:3">
      <c r="A69" s="16" t="s">
        <v>122</v>
      </c>
      <c r="B69" t="str">
        <f>VLOOKUP(A69,Table1[[#All],[StudentID]:[StudentName]],5,0)</f>
        <v>James Clark</v>
      </c>
      <c r="C69">
        <f>VLOOKUP(A69,Table1[[#All],[StudentID]:[Average GPA]],3,0)</f>
        <v>10</v>
      </c>
    </row>
    <row r="70" spans="1:3">
      <c r="A70" s="16" t="s">
        <v>93</v>
      </c>
      <c r="B70" t="str">
        <f>VLOOKUP(A70,Table1[[#All],[StudentID]:[StudentName]],5,0)</f>
        <v>Ankit Sharma</v>
      </c>
      <c r="C70">
        <f>VLOOKUP(A70,Table1[[#All],[StudentID]:[Average GPA]],3,0)</f>
        <v>10</v>
      </c>
    </row>
    <row r="71" spans="1:3">
      <c r="A71" s="20" t="s">
        <v>115</v>
      </c>
      <c r="B71" t="str">
        <f>VLOOKUP(A71,Table1[[#All],[StudentID]:[StudentName]],5,0)</f>
        <v>Sophia Wilson</v>
      </c>
      <c r="C71">
        <f>VLOOKUP(A71,Table1[[#All],[StudentID]:[Average GPA]],3,0)</f>
        <v>10</v>
      </c>
    </row>
    <row r="72" spans="1:3">
      <c r="A72" s="16" t="s">
        <v>19</v>
      </c>
      <c r="B72" t="str">
        <f>VLOOKUP(A72,Table1[[#All],[StudentID]:[StudentName]],5,0)</f>
        <v>Sara Khan</v>
      </c>
      <c r="C72">
        <f>VLOOKUP(A72,Table1[[#All],[StudentID]:[Average GPA]],3,0)</f>
        <v>10</v>
      </c>
    </row>
    <row r="73" spans="1:3">
      <c r="A73" s="16" t="s">
        <v>72</v>
      </c>
      <c r="B73" t="str">
        <f>VLOOKUP(A73,Table1[[#All],[StudentID]:[StudentName]],5,0)</f>
        <v>Nisha Gupta</v>
      </c>
      <c r="C73">
        <f>VLOOKUP(A73,Table1[[#All],[StudentID]:[Average GPA]],3,0)</f>
        <v>10</v>
      </c>
    </row>
    <row r="74" spans="1:3">
      <c r="A74" s="20" t="s">
        <v>72</v>
      </c>
      <c r="B74" t="str">
        <f>VLOOKUP(A74,Table1[[#All],[StudentID]:[StudentName]],5,0)</f>
        <v>Nisha Gupta</v>
      </c>
      <c r="C74">
        <f>VLOOKUP(A74,Table1[[#All],[StudentID]:[Average GPA]],3,0)</f>
        <v>10</v>
      </c>
    </row>
    <row r="75" spans="1:3">
      <c r="A75" s="16" t="s">
        <v>104</v>
      </c>
      <c r="B75" t="str">
        <f>VLOOKUP(A75,Table1[[#All],[StudentID]:[StudentName]],5,0)</f>
        <v>Amit Kumar</v>
      </c>
      <c r="C75">
        <f>VLOOKUP(A75,Table1[[#All],[StudentID]:[Average GPA]],3,0)</f>
        <v>10</v>
      </c>
    </row>
    <row r="76" spans="1:3">
      <c r="A76" s="20" t="s">
        <v>98</v>
      </c>
      <c r="B76" t="str">
        <f>VLOOKUP(A76,Table1[[#All],[StudentID]:[StudentName]],5,0)</f>
        <v>Emily Davis</v>
      </c>
      <c r="C76">
        <f>VLOOKUP(A76,Table1[[#All],[StudentID]:[Average GPA]],3,0)</f>
        <v>10</v>
      </c>
    </row>
    <row r="77" spans="1:3">
      <c r="A77" s="20" t="s">
        <v>115</v>
      </c>
      <c r="B77" t="str">
        <f>VLOOKUP(A77,Table1[[#All],[StudentID]:[StudentName]],5,0)</f>
        <v>Sophia Wilson</v>
      </c>
      <c r="C77">
        <f>VLOOKUP(A77,Table1[[#All],[StudentID]:[Average GPA]],3,0)</f>
        <v>10</v>
      </c>
    </row>
    <row r="78" spans="1:3">
      <c r="A78" s="16" t="s">
        <v>72</v>
      </c>
      <c r="B78" t="str">
        <f>VLOOKUP(A78,Table1[[#All],[StudentID]:[StudentName]],5,0)</f>
        <v>Nisha Gupta</v>
      </c>
      <c r="C78">
        <f>VLOOKUP(A78,Table1[[#All],[StudentID]:[Average GPA]],3,0)</f>
        <v>10</v>
      </c>
    </row>
    <row r="79" spans="1:3">
      <c r="A79" s="20" t="s">
        <v>44</v>
      </c>
      <c r="B79" t="str">
        <f>VLOOKUP(A79,Table1[[#All],[StudentID]:[StudentName]],5,0)</f>
        <v>Sophia Wilson</v>
      </c>
      <c r="C79">
        <f>VLOOKUP(A79,Table1[[#All],[StudentID]:[Average GPA]],3,0)</f>
        <v>10</v>
      </c>
    </row>
    <row r="80" spans="1:3">
      <c r="A80" s="16" t="s">
        <v>44</v>
      </c>
      <c r="B80" t="str">
        <f>VLOOKUP(A80,Table1[[#All],[StudentID]:[StudentName]],5,0)</f>
        <v>Sophia Wilson</v>
      </c>
      <c r="C80">
        <f>VLOOKUP(A80,Table1[[#All],[StudentID]:[Average GPA]],3,0)</f>
        <v>10</v>
      </c>
    </row>
    <row r="81" spans="1:3">
      <c r="A81" s="16" t="s">
        <v>19</v>
      </c>
      <c r="B81" t="str">
        <f>VLOOKUP(A81,Table1[[#All],[StudentID]:[StudentName]],5,0)</f>
        <v>Sara Khan</v>
      </c>
      <c r="C81">
        <f>VLOOKUP(A81,Table1[[#All],[StudentID]:[Average GPA]],3,0)</f>
        <v>10</v>
      </c>
    </row>
    <row r="82" spans="1:3">
      <c r="A82" s="16" t="s">
        <v>90</v>
      </c>
      <c r="B82" t="str">
        <f>VLOOKUP(A82,Table1[[#All],[StudentID]:[StudentName]],5,0)</f>
        <v>James Clark</v>
      </c>
      <c r="C82">
        <f>VLOOKUP(A82,Table1[[#All],[StudentID]:[Average GPA]],3,0)</f>
        <v>10</v>
      </c>
    </row>
    <row r="83" spans="1:3">
      <c r="A83" s="20" t="s">
        <v>90</v>
      </c>
      <c r="B83" t="str">
        <f>VLOOKUP(A83,Table1[[#All],[StudentID]:[StudentName]],5,0)</f>
        <v>James Clark</v>
      </c>
      <c r="C83">
        <f>VLOOKUP(A83,Table1[[#All],[StudentID]:[Average GPA]],3,0)</f>
        <v>10</v>
      </c>
    </row>
    <row r="84" spans="1:3">
      <c r="A84" s="20" t="s">
        <v>120</v>
      </c>
      <c r="B84" t="str">
        <f>VLOOKUP(A84,Table1[[#All],[StudentID]:[StudentName]],5,0)</f>
        <v>Emily Davis</v>
      </c>
      <c r="C84">
        <f>VLOOKUP(A84,Table1[[#All],[StudentID]:[Average GPA]],3,0)</f>
        <v>10</v>
      </c>
    </row>
    <row r="85" spans="1:3">
      <c r="A85" s="16" t="s">
        <v>19</v>
      </c>
      <c r="B85" t="str">
        <f>VLOOKUP(A85,Table1[[#All],[StudentID]:[StudentName]],5,0)</f>
        <v>Sara Khan</v>
      </c>
      <c r="C85">
        <f>VLOOKUP(A85,Table1[[#All],[StudentID]:[Average GPA]],3,0)</f>
        <v>10</v>
      </c>
    </row>
    <row r="86" spans="1:3">
      <c r="A86" s="20" t="s">
        <v>72</v>
      </c>
      <c r="B86" t="str">
        <f>VLOOKUP(A86,Table1[[#All],[StudentID]:[StudentName]],5,0)</f>
        <v>Nisha Gupta</v>
      </c>
      <c r="C86">
        <f>VLOOKUP(A86,Table1[[#All],[StudentID]:[Average GPA]],3,0)</f>
        <v>10</v>
      </c>
    </row>
    <row r="87" spans="1:3">
      <c r="A87" s="20" t="s">
        <v>106</v>
      </c>
      <c r="B87" t="str">
        <f>VLOOKUP(A87,Table1[[#All],[StudentID]:[StudentName]],5,0)</f>
        <v>Sneha Patil</v>
      </c>
      <c r="C87">
        <f>VLOOKUP(A87,Table1[[#All],[StudentID]:[Average GPA]],3,0)</f>
        <v>10</v>
      </c>
    </row>
    <row r="88" spans="1:3">
      <c r="A88" s="20" t="s">
        <v>98</v>
      </c>
      <c r="B88" t="str">
        <f>VLOOKUP(A88,Table1[[#All],[StudentID]:[StudentName]],5,0)</f>
        <v>Emily Davis</v>
      </c>
      <c r="C88">
        <f>VLOOKUP(A88,Table1[[#All],[StudentID]:[Average GPA]],3,0)</f>
        <v>10</v>
      </c>
    </row>
    <row r="89" spans="1:3">
      <c r="A89" s="16" t="s">
        <v>104</v>
      </c>
      <c r="B89" t="str">
        <f>VLOOKUP(A89,Table1[[#All],[StudentID]:[StudentName]],5,0)</f>
        <v>Amit Kumar</v>
      </c>
      <c r="C89">
        <f>VLOOKUP(A89,Table1[[#All],[StudentID]:[Average GPA]],3,0)</f>
        <v>10</v>
      </c>
    </row>
    <row r="90" spans="1:3">
      <c r="A90" s="20" t="s">
        <v>19</v>
      </c>
      <c r="B90" t="str">
        <f>VLOOKUP(A90,Table1[[#All],[StudentID]:[StudentName]],5,0)</f>
        <v>Sara Khan</v>
      </c>
      <c r="C90">
        <f>VLOOKUP(A90,Table1[[#All],[StudentID]:[Average GPA]],3,0)</f>
        <v>10</v>
      </c>
    </row>
    <row r="91" spans="1:3">
      <c r="A91" s="20" t="s">
        <v>104</v>
      </c>
      <c r="B91" t="str">
        <f>VLOOKUP(A91,Table1[[#All],[StudentID]:[StudentName]],5,0)</f>
        <v>Amit Kumar</v>
      </c>
      <c r="C91">
        <f>VLOOKUP(A91,Table1[[#All],[StudentID]:[Average GPA]],3,0)</f>
        <v>10</v>
      </c>
    </row>
    <row r="92" spans="1:3">
      <c r="A92" s="16" t="s">
        <v>44</v>
      </c>
      <c r="B92" t="str">
        <f>VLOOKUP(A92,Table1[[#All],[StudentID]:[StudentName]],5,0)</f>
        <v>Sophia Wilson</v>
      </c>
      <c r="C92">
        <f>VLOOKUP(A92,Table1[[#All],[StudentID]:[Average GPA]],3,0)</f>
        <v>10</v>
      </c>
    </row>
    <row r="93" spans="1:3">
      <c r="A93" s="16" t="s">
        <v>98</v>
      </c>
      <c r="B93" t="str">
        <f>VLOOKUP(A93,Table1[[#All],[StudentID]:[StudentName]],5,0)</f>
        <v>Emily Davis</v>
      </c>
      <c r="C93">
        <f>VLOOKUP(A93,Table1[[#All],[StudentID]:[Average GPA]],3,0)</f>
        <v>10</v>
      </c>
    </row>
    <row r="94" spans="1:3">
      <c r="A94" s="16" t="s">
        <v>53</v>
      </c>
      <c r="B94" t="str">
        <f>VLOOKUP(A94,Table1[[#All],[StudentID]:[StudentName]],5,0)</f>
        <v>Sophia Wilson</v>
      </c>
      <c r="C94">
        <f>VLOOKUP(A94,Table1[[#All],[StudentID]:[Average GPA]],3,0)</f>
        <v>10</v>
      </c>
    </row>
    <row r="95" spans="1:3">
      <c r="A95" s="20" t="s">
        <v>115</v>
      </c>
      <c r="B95" t="str">
        <f>VLOOKUP(A95,Table1[[#All],[StudentID]:[StudentName]],5,0)</f>
        <v>Sophia Wilson</v>
      </c>
      <c r="C95">
        <f>VLOOKUP(A95,Table1[[#All],[StudentID]:[Average GPA]],3,0)</f>
        <v>10</v>
      </c>
    </row>
    <row r="96" spans="1:3">
      <c r="A96" s="20" t="s">
        <v>19</v>
      </c>
      <c r="B96" t="str">
        <f>VLOOKUP(A96,Table1[[#All],[StudentID]:[StudentName]],5,0)</f>
        <v>Sara Khan</v>
      </c>
      <c r="C96">
        <f>VLOOKUP(A96,Table1[[#All],[StudentID]:[Average GPA]],3,0)</f>
        <v>10</v>
      </c>
    </row>
    <row r="97" spans="1:3">
      <c r="A97" s="20" t="s">
        <v>49</v>
      </c>
      <c r="B97" t="str">
        <f>VLOOKUP(A97,Table1[[#All],[StudentID]:[StudentName]],5,0)</f>
        <v>John Smith</v>
      </c>
      <c r="C97">
        <f>VLOOKUP(A97,Table1[[#All],[StudentID]:[Average GPA]],3,0)</f>
        <v>10</v>
      </c>
    </row>
    <row r="98" spans="1:3">
      <c r="A98" s="16" t="s">
        <v>108</v>
      </c>
      <c r="B98" t="str">
        <f>VLOOKUP(A98,Table1[[#All],[StudentID]:[StudentName]],5,0)</f>
        <v>Robert Taylor</v>
      </c>
      <c r="C98">
        <f>VLOOKUP(A98,Table1[[#All],[StudentID]:[Average GPA]],3,0)</f>
        <v>10</v>
      </c>
    </row>
    <row r="99" spans="1:3">
      <c r="A99" s="20" t="s">
        <v>45</v>
      </c>
      <c r="B99" t="str">
        <f>VLOOKUP(A99,Table1[[#All],[StudentID]:[StudentName]],5,0)</f>
        <v>Robert Taylor</v>
      </c>
      <c r="C99">
        <f>VLOOKUP(A99,Table1[[#All],[StudentID]:[Average GPA]],3,0)</f>
        <v>10</v>
      </c>
    </row>
    <row r="100" spans="1:3">
      <c r="A100" s="20" t="s">
        <v>120</v>
      </c>
      <c r="B100" t="str">
        <f>VLOOKUP(A100,Table1[[#All],[StudentID]:[StudentName]],5,0)</f>
        <v>Emily Davis</v>
      </c>
      <c r="C100">
        <f>VLOOKUP(A100,Table1[[#All],[StudentID]:[Average GPA]],3,0)</f>
        <v>10</v>
      </c>
    </row>
    <row r="101" spans="1:3">
      <c r="A101" s="20" t="s">
        <v>45</v>
      </c>
      <c r="B101" t="str">
        <f>VLOOKUP(A101,Table1[[#All],[StudentID]:[StudentName]],5,0)</f>
        <v>Robert Taylor</v>
      </c>
      <c r="C101">
        <f>VLOOKUP(A101,Table1[[#All],[StudentID]:[Average GPA]],3,0)</f>
        <v>10</v>
      </c>
    </row>
    <row r="102" spans="1:3">
      <c r="A102" s="20" t="s">
        <v>101</v>
      </c>
      <c r="B102" t="str">
        <f>VLOOKUP(A102,Table1[[#All],[StudentID]:[StudentName]],5,0)</f>
        <v>Priya Verma</v>
      </c>
      <c r="C102">
        <f>VLOOKUP(A102,Table1[[#All],[StudentID]:[Average GPA]],3,0)</f>
        <v>10</v>
      </c>
    </row>
    <row r="103" spans="1:3">
      <c r="A103" s="20" t="s">
        <v>115</v>
      </c>
      <c r="B103" t="str">
        <f>VLOOKUP(A103,Table1[[#All],[StudentID]:[StudentName]],5,0)</f>
        <v>Sophia Wilson</v>
      </c>
      <c r="C103">
        <f>VLOOKUP(A103,Table1[[#All],[StudentID]:[Average GPA]],3,0)</f>
        <v>10</v>
      </c>
    </row>
    <row r="104" spans="1:3">
      <c r="A104" s="20" t="s">
        <v>44</v>
      </c>
      <c r="B104" t="str">
        <f>VLOOKUP(A104,Table1[[#All],[StudentID]:[StudentName]],5,0)</f>
        <v>Sophia Wilson</v>
      </c>
      <c r="C104">
        <f>VLOOKUP(A104,Table1[[#All],[StudentID]:[Average GPA]],3,0)</f>
        <v>10</v>
      </c>
    </row>
    <row r="105" spans="1:3">
      <c r="A105" s="16" t="s">
        <v>19</v>
      </c>
      <c r="B105" t="str">
        <f>VLOOKUP(A105,Table1[[#All],[StudentID]:[StudentName]],5,0)</f>
        <v>Sara Khan</v>
      </c>
      <c r="C105">
        <f>VLOOKUP(A105,Table1[[#All],[StudentID]:[Average GPA]],3,0)</f>
        <v>10</v>
      </c>
    </row>
    <row r="106" spans="1:3">
      <c r="A106" s="16" t="s">
        <v>87</v>
      </c>
      <c r="B106" t="str">
        <f>VLOOKUP(A106,Table1[[#All],[StudentID]:[StudentName]],5,0)</f>
        <v>Sara Khan</v>
      </c>
      <c r="C106">
        <f>VLOOKUP(A106,Table1[[#All],[StudentID]:[Average GPA]],3,0)</f>
        <v>8</v>
      </c>
    </row>
    <row r="107" spans="1:3">
      <c r="A107" s="20" t="s">
        <v>70</v>
      </c>
      <c r="B107" t="str">
        <f>VLOOKUP(A107,Table1[[#All],[StudentID]:[StudentName]],5,0)</f>
        <v>Sophia Wilson</v>
      </c>
      <c r="C107">
        <f>VLOOKUP(A107,Table1[[#All],[StudentID]:[Average GPA]],3,0)</f>
        <v>8</v>
      </c>
    </row>
    <row r="108" spans="1:3">
      <c r="A108" s="20" t="s">
        <v>76</v>
      </c>
      <c r="B108" t="str">
        <f>VLOOKUP(A108,Table1[[#All],[StudentID]:[StudentName]],5,0)</f>
        <v>Emily Davis</v>
      </c>
      <c r="C108">
        <f>VLOOKUP(A108,Table1[[#All],[StudentID]:[Average GPA]],3,0)</f>
        <v>8</v>
      </c>
    </row>
    <row r="109" spans="1:3">
      <c r="A109" s="16" t="s">
        <v>92</v>
      </c>
      <c r="B109" t="str">
        <f>VLOOKUP(A109,Table1[[#All],[StudentID]:[StudentName]],5,0)</f>
        <v>James Clark</v>
      </c>
      <c r="C109">
        <f>VLOOKUP(A109,Table1[[#All],[StudentID]:[Average GPA]],3,0)</f>
        <v>8</v>
      </c>
    </row>
    <row r="110" spans="1:3">
      <c r="A110" s="16" t="s">
        <v>126</v>
      </c>
      <c r="B110" t="str">
        <f>VLOOKUP(A110,Table1[[#All],[StudentID]:[StudentName]],5,0)</f>
        <v>Ankit Sharma</v>
      </c>
      <c r="C110">
        <f>VLOOKUP(A110,Table1[[#All],[StudentID]:[Average GPA]],3,0)</f>
        <v>8</v>
      </c>
    </row>
    <row r="111" spans="1:3">
      <c r="A111" s="16" t="s">
        <v>84</v>
      </c>
      <c r="B111" t="str">
        <f>VLOOKUP(A111,Table1[[#All],[StudentID]:[StudentName]],5,0)</f>
        <v>Nisha Gupta</v>
      </c>
      <c r="C111">
        <f>VLOOKUP(A111,Table1[[#All],[StudentID]:[Average GPA]],3,0)</f>
        <v>8</v>
      </c>
    </row>
    <row r="112" spans="1:3">
      <c r="A112" s="16" t="s">
        <v>96</v>
      </c>
      <c r="B112" t="str">
        <f>VLOOKUP(A112,Table1[[#All],[StudentID]:[StudentName]],5,0)</f>
        <v>Raj Mehta</v>
      </c>
      <c r="C112">
        <f>VLOOKUP(A112,Table1[[#All],[StudentID]:[Average GPA]],3,0)</f>
        <v>8</v>
      </c>
    </row>
    <row r="113" spans="1:3">
      <c r="A113" s="20" t="s">
        <v>54</v>
      </c>
      <c r="B113" t="str">
        <f>VLOOKUP(A113,Table1[[#All],[StudentID]:[StudentName]],5,0)</f>
        <v>Daniel Lee</v>
      </c>
      <c r="C113">
        <f>VLOOKUP(A113,Table1[[#All],[StudentID]:[Average GPA]],3,0)</f>
        <v>8</v>
      </c>
    </row>
    <row r="114" spans="1:3">
      <c r="A114" s="20" t="s">
        <v>96</v>
      </c>
      <c r="B114" t="str">
        <f>VLOOKUP(A114,Table1[[#All],[StudentID]:[StudentName]],5,0)</f>
        <v>Raj Mehta</v>
      </c>
      <c r="C114">
        <f>VLOOKUP(A114,Table1[[#All],[StudentID]:[Average GPA]],3,0)</f>
        <v>8</v>
      </c>
    </row>
    <row r="115" spans="1:3">
      <c r="A115" s="20" t="s">
        <v>30</v>
      </c>
      <c r="B115" t="str">
        <f>VLOOKUP(A115,Table1[[#All],[StudentID]:[StudentName]],5,0)</f>
        <v>Raj Mehta</v>
      </c>
      <c r="C115">
        <f>VLOOKUP(A115,Table1[[#All],[StudentID]:[Average GPA]],3,0)</f>
        <v>8</v>
      </c>
    </row>
    <row r="116" spans="1:3">
      <c r="A116" s="16" t="s">
        <v>126</v>
      </c>
      <c r="B116" t="str">
        <f>VLOOKUP(A116,Table1[[#All],[StudentID]:[StudentName]],5,0)</f>
        <v>Ankit Sharma</v>
      </c>
      <c r="C116">
        <f>VLOOKUP(A116,Table1[[#All],[StudentID]:[Average GPA]],3,0)</f>
        <v>8</v>
      </c>
    </row>
    <row r="117" spans="1:3">
      <c r="A117" s="20" t="s">
        <v>30</v>
      </c>
      <c r="B117" t="str">
        <f>VLOOKUP(A117,Table1[[#All],[StudentID]:[StudentName]],5,0)</f>
        <v>Raj Mehta</v>
      </c>
      <c r="C117">
        <f>VLOOKUP(A117,Table1[[#All],[StudentID]:[Average GPA]],3,0)</f>
        <v>8</v>
      </c>
    </row>
    <row r="118" spans="1:3">
      <c r="A118" s="20" t="s">
        <v>84</v>
      </c>
      <c r="B118" t="str">
        <f>VLOOKUP(A118,Table1[[#All],[StudentID]:[StudentName]],5,0)</f>
        <v>Nisha Gupta</v>
      </c>
      <c r="C118">
        <f>VLOOKUP(A118,Table1[[#All],[StudentID]:[Average GPA]],3,0)</f>
        <v>8</v>
      </c>
    </row>
    <row r="119" spans="1:3">
      <c r="A119" s="20" t="s">
        <v>117</v>
      </c>
      <c r="B119" t="str">
        <f>VLOOKUP(A119,Table1[[#All],[StudentID]:[StudentName]],5,0)</f>
        <v>Chris Evans</v>
      </c>
      <c r="C119">
        <f>VLOOKUP(A119,Table1[[#All],[StudentID]:[Average GPA]],3,0)</f>
        <v>8</v>
      </c>
    </row>
    <row r="120" spans="1:3">
      <c r="A120" s="16" t="s">
        <v>100</v>
      </c>
      <c r="B120" t="str">
        <f>VLOOKUP(A120,Table1[[#All],[StudentID]:[StudentName]],5,0)</f>
        <v>Priya Verma</v>
      </c>
      <c r="C120">
        <f>VLOOKUP(A120,Table1[[#All],[StudentID]:[Average GPA]],3,0)</f>
        <v>8</v>
      </c>
    </row>
    <row r="121" spans="1:3">
      <c r="A121" s="20" t="s">
        <v>126</v>
      </c>
      <c r="B121" t="str">
        <f>VLOOKUP(A121,Table1[[#All],[StudentID]:[StudentName]],5,0)</f>
        <v>Ankit Sharma</v>
      </c>
      <c r="C121">
        <f>VLOOKUP(A121,Table1[[#All],[StudentID]:[Average GPA]],3,0)</f>
        <v>8</v>
      </c>
    </row>
    <row r="122" spans="1:3">
      <c r="A122" s="16" t="s">
        <v>62</v>
      </c>
      <c r="B122" t="str">
        <f>VLOOKUP(A122,Table1[[#All],[StudentID]:[StudentName]],5,0)</f>
        <v>Daniel Lee</v>
      </c>
      <c r="C122">
        <f>VLOOKUP(A122,Table1[[#All],[StudentID]:[Average GPA]],3,0)</f>
        <v>8</v>
      </c>
    </row>
    <row r="123" spans="1:3">
      <c r="A123" s="20" t="s">
        <v>117</v>
      </c>
      <c r="B123" t="str">
        <f>VLOOKUP(A123,Table1[[#All],[StudentID]:[StudentName]],5,0)</f>
        <v>Chris Evans</v>
      </c>
      <c r="C123">
        <f>VLOOKUP(A123,Table1[[#All],[StudentID]:[Average GPA]],3,0)</f>
        <v>8</v>
      </c>
    </row>
    <row r="124" spans="1:3">
      <c r="A124" s="20" t="s">
        <v>29</v>
      </c>
      <c r="B124" t="str">
        <f>VLOOKUP(A124,Table1[[#All],[StudentID]:[StudentName]],5,0)</f>
        <v>Sara Khan</v>
      </c>
      <c r="C124">
        <f>VLOOKUP(A124,Table1[[#All],[StudentID]:[Average GPA]],3,0)</f>
        <v>8</v>
      </c>
    </row>
    <row r="125" spans="1:3">
      <c r="A125" s="16" t="s">
        <v>70</v>
      </c>
      <c r="B125" t="str">
        <f>VLOOKUP(A125,Table1[[#All],[StudentID]:[StudentName]],5,0)</f>
        <v>Sophia Wilson</v>
      </c>
      <c r="C125">
        <f>VLOOKUP(A125,Table1[[#All],[StudentID]:[Average GPA]],3,0)</f>
        <v>8</v>
      </c>
    </row>
    <row r="126" spans="1:3">
      <c r="A126" s="20" t="s">
        <v>92</v>
      </c>
      <c r="B126" t="str">
        <f>VLOOKUP(A126,Table1[[#All],[StudentID]:[StudentName]],5,0)</f>
        <v>James Clark</v>
      </c>
      <c r="C126">
        <f>VLOOKUP(A126,Table1[[#All],[StudentID]:[Average GPA]],3,0)</f>
        <v>8</v>
      </c>
    </row>
    <row r="127" spans="1:3">
      <c r="A127" s="16" t="s">
        <v>87</v>
      </c>
      <c r="B127" t="str">
        <f>VLOOKUP(A127,Table1[[#All],[StudentID]:[StudentName]],5,0)</f>
        <v>Sara Khan</v>
      </c>
      <c r="C127">
        <f>VLOOKUP(A127,Table1[[#All],[StudentID]:[Average GPA]],3,0)</f>
        <v>8</v>
      </c>
    </row>
    <row r="128" spans="1:3">
      <c r="A128" s="20" t="s">
        <v>76</v>
      </c>
      <c r="B128" t="str">
        <f>VLOOKUP(A128,Table1[[#All],[StudentID]:[StudentName]],5,0)</f>
        <v>Emily Davis</v>
      </c>
      <c r="C128">
        <f>VLOOKUP(A128,Table1[[#All],[StudentID]:[Average GPA]],3,0)</f>
        <v>8</v>
      </c>
    </row>
    <row r="129" spans="1:3">
      <c r="A129" s="16" t="s">
        <v>70</v>
      </c>
      <c r="B129" t="str">
        <f>VLOOKUP(A129,Table1[[#All],[StudentID]:[StudentName]],5,0)</f>
        <v>Sophia Wilson</v>
      </c>
      <c r="C129">
        <f>VLOOKUP(A129,Table1[[#All],[StudentID]:[Average GPA]],3,0)</f>
        <v>8</v>
      </c>
    </row>
    <row r="130" spans="1:3">
      <c r="A130" s="16" t="s">
        <v>100</v>
      </c>
      <c r="B130" t="str">
        <f>VLOOKUP(A130,Table1[[#All],[StudentID]:[StudentName]],5,0)</f>
        <v>Priya Verma</v>
      </c>
      <c r="C130">
        <f>VLOOKUP(A130,Table1[[#All],[StudentID]:[Average GPA]],3,0)</f>
        <v>8</v>
      </c>
    </row>
    <row r="131" spans="1:3">
      <c r="A131" s="16" t="s">
        <v>76</v>
      </c>
      <c r="B131" t="str">
        <f>VLOOKUP(A131,Table1[[#All],[StudentID]:[StudentName]],5,0)</f>
        <v>Emily Davis</v>
      </c>
      <c r="C131">
        <f>VLOOKUP(A131,Table1[[#All],[StudentID]:[Average GPA]],3,0)</f>
        <v>8</v>
      </c>
    </row>
    <row r="132" spans="1:3">
      <c r="A132" s="16" t="s">
        <v>29</v>
      </c>
      <c r="B132" t="str">
        <f>VLOOKUP(A132,Table1[[#All],[StudentID]:[StudentName]],5,0)</f>
        <v>Sara Khan</v>
      </c>
      <c r="C132">
        <f>VLOOKUP(A132,Table1[[#All],[StudentID]:[Average GPA]],3,0)</f>
        <v>8</v>
      </c>
    </row>
    <row r="133" spans="1:3">
      <c r="A133" s="20" t="s">
        <v>54</v>
      </c>
      <c r="B133" t="str">
        <f>VLOOKUP(A133,Table1[[#All],[StudentID]:[StudentName]],5,0)</f>
        <v>Daniel Lee</v>
      </c>
      <c r="C133">
        <f>VLOOKUP(A133,Table1[[#All],[StudentID]:[Average GPA]],3,0)</f>
        <v>8</v>
      </c>
    </row>
    <row r="134" spans="1:3">
      <c r="A134" s="20" t="s">
        <v>73</v>
      </c>
      <c r="B134" t="str">
        <f>VLOOKUP(A134,Table1[[#All],[StudentID]:[StudentName]],5,0)</f>
        <v>Michael Brown</v>
      </c>
      <c r="C134">
        <f>VLOOKUP(A134,Table1[[#All],[StudentID]:[Average GPA]],3,0)</f>
        <v>8</v>
      </c>
    </row>
    <row r="135" spans="1:3">
      <c r="A135" s="20" t="s">
        <v>54</v>
      </c>
      <c r="B135" t="str">
        <f>VLOOKUP(A135,Table1[[#All],[StudentID]:[StudentName]],5,0)</f>
        <v>Daniel Lee</v>
      </c>
      <c r="C135">
        <f>VLOOKUP(A135,Table1[[#All],[StudentID]:[Average GPA]],3,0)</f>
        <v>8</v>
      </c>
    </row>
    <row r="136" spans="1:3">
      <c r="A136" s="16" t="s">
        <v>100</v>
      </c>
      <c r="B136" t="str">
        <f>VLOOKUP(A136,Table1[[#All],[StudentID]:[StudentName]],5,0)</f>
        <v>Priya Verma</v>
      </c>
      <c r="C136">
        <f>VLOOKUP(A136,Table1[[#All],[StudentID]:[Average GPA]],3,0)</f>
        <v>8</v>
      </c>
    </row>
    <row r="137" spans="1:3">
      <c r="A137" s="16" t="s">
        <v>29</v>
      </c>
      <c r="B137" t="str">
        <f>VLOOKUP(A137,Table1[[#All],[StudentID]:[StudentName]],5,0)</f>
        <v>Sara Khan</v>
      </c>
      <c r="C137">
        <f>VLOOKUP(A137,Table1[[#All],[StudentID]:[Average GPA]],3,0)</f>
        <v>8</v>
      </c>
    </row>
    <row r="138" spans="1:3">
      <c r="A138" s="20" t="s">
        <v>87</v>
      </c>
      <c r="B138" t="str">
        <f>VLOOKUP(A138,Table1[[#All],[StudentID]:[StudentName]],5,0)</f>
        <v>Sara Khan</v>
      </c>
      <c r="C138">
        <f>VLOOKUP(A138,Table1[[#All],[StudentID]:[Average GPA]],3,0)</f>
        <v>8</v>
      </c>
    </row>
    <row r="139" spans="1:3">
      <c r="A139" s="20" t="s">
        <v>73</v>
      </c>
      <c r="B139" t="str">
        <f>VLOOKUP(A139,Table1[[#All],[StudentID]:[StudentName]],5,0)</f>
        <v>Michael Brown</v>
      </c>
      <c r="C139">
        <f>VLOOKUP(A139,Table1[[#All],[StudentID]:[Average GPA]],3,0)</f>
        <v>8</v>
      </c>
    </row>
    <row r="140" spans="1:3">
      <c r="A140" s="20" t="s">
        <v>68</v>
      </c>
      <c r="B140" t="str">
        <f>VLOOKUP(A140,Table1[[#All],[StudentID]:[StudentName]],5,0)</f>
        <v>Daniel Lee</v>
      </c>
      <c r="C140">
        <f>VLOOKUP(A140,Table1[[#All],[StudentID]:[Average GPA]],3,0)</f>
        <v>8</v>
      </c>
    </row>
    <row r="141" spans="1:3">
      <c r="A141" s="20" t="s">
        <v>54</v>
      </c>
      <c r="B141" t="str">
        <f>VLOOKUP(A141,Table1[[#All],[StudentID]:[StudentName]],5,0)</f>
        <v>Daniel Lee</v>
      </c>
      <c r="C141">
        <f>VLOOKUP(A141,Table1[[#All],[StudentID]:[Average GPA]],3,0)</f>
        <v>8</v>
      </c>
    </row>
    <row r="142" spans="1:3">
      <c r="A142" s="16" t="s">
        <v>126</v>
      </c>
      <c r="B142" t="str">
        <f>VLOOKUP(A142,Table1[[#All],[StudentID]:[StudentName]],5,0)</f>
        <v>Ankit Sharma</v>
      </c>
      <c r="C142">
        <f>VLOOKUP(A142,Table1[[#All],[StudentID]:[Average GPA]],3,0)</f>
        <v>8</v>
      </c>
    </row>
    <row r="143" spans="1:3">
      <c r="A143" s="20" t="s">
        <v>84</v>
      </c>
      <c r="B143" t="str">
        <f>VLOOKUP(A143,Table1[[#All],[StudentID]:[StudentName]],5,0)</f>
        <v>Nisha Gupta</v>
      </c>
      <c r="C143">
        <f>VLOOKUP(A143,Table1[[#All],[StudentID]:[Average GPA]],3,0)</f>
        <v>8</v>
      </c>
    </row>
    <row r="144" spans="1:3">
      <c r="A144" s="16" t="s">
        <v>30</v>
      </c>
      <c r="B144" t="str">
        <f>VLOOKUP(A144,Table1[[#All],[StudentID]:[StudentName]],5,0)</f>
        <v>Raj Mehta</v>
      </c>
      <c r="C144">
        <f>VLOOKUP(A144,Table1[[#All],[StudentID]:[Average GPA]],3,0)</f>
        <v>8</v>
      </c>
    </row>
    <row r="145" spans="1:3">
      <c r="A145" s="16" t="s">
        <v>100</v>
      </c>
      <c r="B145" t="str">
        <f>VLOOKUP(A145,Table1[[#All],[StudentID]:[StudentName]],5,0)</f>
        <v>Priya Verma</v>
      </c>
      <c r="C145">
        <f>VLOOKUP(A145,Table1[[#All],[StudentID]:[Average GPA]],3,0)</f>
        <v>8</v>
      </c>
    </row>
    <row r="146" spans="1:3">
      <c r="A146" s="16" t="s">
        <v>70</v>
      </c>
      <c r="B146" t="str">
        <f>VLOOKUP(A146,Table1[[#All],[StudentID]:[StudentName]],5,0)</f>
        <v>Sophia Wilson</v>
      </c>
      <c r="C146">
        <f>VLOOKUP(A146,Table1[[#All],[StudentID]:[Average GPA]],3,0)</f>
        <v>8</v>
      </c>
    </row>
    <row r="147" spans="1:3">
      <c r="A147" s="20" t="s">
        <v>73</v>
      </c>
      <c r="B147" t="str">
        <f>VLOOKUP(A147,Table1[[#All],[StudentID]:[StudentName]],5,0)</f>
        <v>Michael Brown</v>
      </c>
      <c r="C147">
        <f>VLOOKUP(A147,Table1[[#All],[StudentID]:[Average GPA]],3,0)</f>
        <v>8</v>
      </c>
    </row>
    <row r="148" spans="1:3">
      <c r="A148" s="16" t="s">
        <v>70</v>
      </c>
      <c r="B148" t="str">
        <f>VLOOKUP(A148,Table1[[#All],[StudentID]:[StudentName]],5,0)</f>
        <v>Sophia Wilson</v>
      </c>
      <c r="C148">
        <f>VLOOKUP(A148,Table1[[#All],[StudentID]:[Average GPA]],3,0)</f>
        <v>8</v>
      </c>
    </row>
    <row r="149" spans="1:3">
      <c r="A149" s="16" t="s">
        <v>29</v>
      </c>
      <c r="B149" t="str">
        <f>VLOOKUP(A149,Table1[[#All],[StudentID]:[StudentName]],5,0)</f>
        <v>Sara Khan</v>
      </c>
      <c r="C149">
        <f>VLOOKUP(A149,Table1[[#All],[StudentID]:[Average GPA]],3,0)</f>
        <v>8</v>
      </c>
    </row>
    <row r="150" spans="1:3">
      <c r="A150" s="16" t="s">
        <v>100</v>
      </c>
      <c r="B150" t="str">
        <f>VLOOKUP(A150,Table1[[#All],[StudentID]:[StudentName]],5,0)</f>
        <v>Priya Verma</v>
      </c>
      <c r="C150">
        <f>VLOOKUP(A150,Table1[[#All],[StudentID]:[Average GPA]],3,0)</f>
        <v>8</v>
      </c>
    </row>
    <row r="151" spans="1:3">
      <c r="A151" s="20" t="s">
        <v>117</v>
      </c>
      <c r="B151" t="str">
        <f>VLOOKUP(A151,Table1[[#All],[StudentID]:[StudentName]],5,0)</f>
        <v>Chris Evans</v>
      </c>
      <c r="C151">
        <f>VLOOKUP(A151,Table1[[#All],[StudentID]:[Average GPA]],3,0)</f>
        <v>8</v>
      </c>
    </row>
    <row r="152" spans="1:3">
      <c r="A152" s="20" t="s">
        <v>68</v>
      </c>
      <c r="B152" t="str">
        <f>VLOOKUP(A152,Table1[[#All],[StudentID]:[StudentName]],5,0)</f>
        <v>Daniel Lee</v>
      </c>
      <c r="C152">
        <f>VLOOKUP(A152,Table1[[#All],[StudentID]:[Average GPA]],3,0)</f>
        <v>8</v>
      </c>
    </row>
    <row r="153" spans="1:3">
      <c r="A153" s="20" t="s">
        <v>70</v>
      </c>
      <c r="B153" t="str">
        <f>VLOOKUP(A153,Table1[[#All],[StudentID]:[StudentName]],5,0)</f>
        <v>Sophia Wilson</v>
      </c>
      <c r="C153">
        <f>VLOOKUP(A153,Table1[[#All],[StudentID]:[Average GPA]],3,0)</f>
        <v>8</v>
      </c>
    </row>
    <row r="154" spans="1:3">
      <c r="A154" s="16" t="s">
        <v>41</v>
      </c>
      <c r="B154" t="str">
        <f>VLOOKUP(A154,Table1[[#All],[StudentID]:[StudentName]],5,0)</f>
        <v>Raj Mehta</v>
      </c>
      <c r="C154">
        <f>VLOOKUP(A154,Table1[[#All],[StudentID]:[Average GPA]],3,0)</f>
        <v>8</v>
      </c>
    </row>
    <row r="155" spans="1:3">
      <c r="A155" s="16" t="s">
        <v>84</v>
      </c>
      <c r="B155" t="str">
        <f>VLOOKUP(A155,Table1[[#All],[StudentID]:[StudentName]],5,0)</f>
        <v>Nisha Gupta</v>
      </c>
      <c r="C155">
        <f>VLOOKUP(A155,Table1[[#All],[StudentID]:[Average GPA]],3,0)</f>
        <v>8</v>
      </c>
    </row>
    <row r="156" spans="1:3">
      <c r="A156" s="20" t="s">
        <v>84</v>
      </c>
      <c r="B156" t="str">
        <f>VLOOKUP(A156,Table1[[#All],[StudentID]:[StudentName]],5,0)</f>
        <v>Nisha Gupta</v>
      </c>
      <c r="C156">
        <f>VLOOKUP(A156,Table1[[#All],[StudentID]:[Average GPA]],3,0)</f>
        <v>8</v>
      </c>
    </row>
    <row r="157" spans="1:3">
      <c r="A157" s="16" t="s">
        <v>30</v>
      </c>
      <c r="B157" t="str">
        <f>VLOOKUP(A157,Table1[[#All],[StudentID]:[StudentName]],5,0)</f>
        <v>Raj Mehta</v>
      </c>
      <c r="C157">
        <f>VLOOKUP(A157,Table1[[#All],[StudentID]:[Average GPA]],3,0)</f>
        <v>8</v>
      </c>
    </row>
    <row r="158" spans="1:3">
      <c r="A158" s="16" t="s">
        <v>92</v>
      </c>
      <c r="B158" t="str">
        <f>VLOOKUP(A158,Table1[[#All],[StudentID]:[StudentName]],5,0)</f>
        <v>James Clark</v>
      </c>
      <c r="C158">
        <f>VLOOKUP(A158,Table1[[#All],[StudentID]:[Average GPA]],3,0)</f>
        <v>8</v>
      </c>
    </row>
    <row r="159" spans="1:3">
      <c r="A159" s="16" t="s">
        <v>54</v>
      </c>
      <c r="B159" t="str">
        <f>VLOOKUP(A159,Table1[[#All],[StudentID]:[StudentName]],5,0)</f>
        <v>Daniel Lee</v>
      </c>
      <c r="C159">
        <f>VLOOKUP(A159,Table1[[#All],[StudentID]:[Average GPA]],3,0)</f>
        <v>8</v>
      </c>
    </row>
    <row r="160" spans="1:3">
      <c r="A160" s="20" t="s">
        <v>87</v>
      </c>
      <c r="B160" t="str">
        <f>VLOOKUP(A160,Table1[[#All],[StudentID]:[StudentName]],5,0)</f>
        <v>Sara Khan</v>
      </c>
      <c r="C160">
        <f>VLOOKUP(A160,Table1[[#All],[StudentID]:[Average GPA]],3,0)</f>
        <v>8</v>
      </c>
    </row>
    <row r="161" spans="1:3">
      <c r="A161" s="20" t="s">
        <v>84</v>
      </c>
      <c r="B161" t="str">
        <f>VLOOKUP(A161,Table1[[#All],[StudentID]:[StudentName]],5,0)</f>
        <v>Nisha Gupta</v>
      </c>
      <c r="C161">
        <f>VLOOKUP(A161,Table1[[#All],[StudentID]:[Average GPA]],3,0)</f>
        <v>8</v>
      </c>
    </row>
    <row r="162" spans="1:3">
      <c r="A162" s="20" t="s">
        <v>30</v>
      </c>
      <c r="B162" t="str">
        <f>VLOOKUP(A162,Table1[[#All],[StudentID]:[StudentName]],5,0)</f>
        <v>Raj Mehta</v>
      </c>
      <c r="C162">
        <f>VLOOKUP(A162,Table1[[#All],[StudentID]:[Average GPA]],3,0)</f>
        <v>8</v>
      </c>
    </row>
    <row r="163" spans="1:3">
      <c r="A163" s="16" t="s">
        <v>100</v>
      </c>
      <c r="B163" t="str">
        <f>VLOOKUP(A163,Table1[[#All],[StudentID]:[StudentName]],5,0)</f>
        <v>Priya Verma</v>
      </c>
      <c r="C163">
        <f>VLOOKUP(A163,Table1[[#All],[StudentID]:[Average GPA]],3,0)</f>
        <v>8</v>
      </c>
    </row>
    <row r="164" spans="1:3">
      <c r="A164" s="16" t="s">
        <v>76</v>
      </c>
      <c r="B164" t="str">
        <f>VLOOKUP(A164,Table1[[#All],[StudentID]:[StudentName]],5,0)</f>
        <v>Emily Davis</v>
      </c>
      <c r="C164">
        <f>VLOOKUP(A164,Table1[[#All],[StudentID]:[Average GPA]],3,0)</f>
        <v>8</v>
      </c>
    </row>
    <row r="165" spans="1:3">
      <c r="A165" s="20" t="s">
        <v>73</v>
      </c>
      <c r="B165" t="str">
        <f>VLOOKUP(A165,Table1[[#All],[StudentID]:[StudentName]],5,0)</f>
        <v>Michael Brown</v>
      </c>
      <c r="C165">
        <f>VLOOKUP(A165,Table1[[#All],[StudentID]:[Average GPA]],3,0)</f>
        <v>8</v>
      </c>
    </row>
    <row r="166" spans="1:3">
      <c r="A166" s="16" t="s">
        <v>96</v>
      </c>
      <c r="B166" t="str">
        <f>VLOOKUP(A166,Table1[[#All],[StudentID]:[StudentName]],5,0)</f>
        <v>Raj Mehta</v>
      </c>
      <c r="C166">
        <f>VLOOKUP(A166,Table1[[#All],[StudentID]:[Average GPA]],3,0)</f>
        <v>8</v>
      </c>
    </row>
    <row r="167" spans="1:3">
      <c r="A167" s="16" t="s">
        <v>126</v>
      </c>
      <c r="B167" t="str">
        <f>VLOOKUP(A167,Table1[[#All],[StudentID]:[StudentName]],5,0)</f>
        <v>Ankit Sharma</v>
      </c>
      <c r="C167">
        <f>VLOOKUP(A167,Table1[[#All],[StudentID]:[Average GPA]],3,0)</f>
        <v>8</v>
      </c>
    </row>
    <row r="168" spans="1:3">
      <c r="A168" s="20" t="s">
        <v>30</v>
      </c>
      <c r="B168" t="str">
        <f>VLOOKUP(A168,Table1[[#All],[StudentID]:[StudentName]],5,0)</f>
        <v>Raj Mehta</v>
      </c>
      <c r="C168">
        <f>VLOOKUP(A168,Table1[[#All],[StudentID]:[Average GPA]],3,0)</f>
        <v>8</v>
      </c>
    </row>
    <row r="169" spans="1:3">
      <c r="A169" s="16" t="s">
        <v>96</v>
      </c>
      <c r="B169" t="str">
        <f>VLOOKUP(A169,Table1[[#All],[StudentID]:[StudentName]],5,0)</f>
        <v>Raj Mehta</v>
      </c>
      <c r="C169">
        <f>VLOOKUP(A169,Table1[[#All],[StudentID]:[Average GPA]],3,0)</f>
        <v>8</v>
      </c>
    </row>
    <row r="170" spans="1:3">
      <c r="A170" s="20" t="s">
        <v>30</v>
      </c>
      <c r="B170" t="str">
        <f>VLOOKUP(A170,Table1[[#All],[StudentID]:[StudentName]],5,0)</f>
        <v>Raj Mehta</v>
      </c>
      <c r="C170">
        <f>VLOOKUP(A170,Table1[[#All],[StudentID]:[Average GPA]],3,0)</f>
        <v>8</v>
      </c>
    </row>
    <row r="171" spans="1:3">
      <c r="A171" s="16" t="s">
        <v>84</v>
      </c>
      <c r="B171" t="str">
        <f>VLOOKUP(A171,Table1[[#All],[StudentID]:[StudentName]],5,0)</f>
        <v>Nisha Gupta</v>
      </c>
      <c r="C171">
        <f>VLOOKUP(A171,Table1[[#All],[StudentID]:[Average GPA]],3,0)</f>
        <v>8</v>
      </c>
    </row>
    <row r="172" spans="1:3">
      <c r="A172" s="20" t="s">
        <v>41</v>
      </c>
      <c r="B172" t="str">
        <f>VLOOKUP(A172,Table1[[#All],[StudentID]:[StudentName]],5,0)</f>
        <v>Raj Mehta</v>
      </c>
      <c r="C172">
        <f>VLOOKUP(A172,Table1[[#All],[StudentID]:[Average GPA]],3,0)</f>
        <v>8</v>
      </c>
    </row>
    <row r="173" spans="1:3">
      <c r="A173" s="20" t="s">
        <v>73</v>
      </c>
      <c r="B173" t="str">
        <f>VLOOKUP(A173,Table1[[#All],[StudentID]:[StudentName]],5,0)</f>
        <v>Michael Brown</v>
      </c>
      <c r="C173">
        <f>VLOOKUP(A173,Table1[[#All],[StudentID]:[Average GPA]],3,0)</f>
        <v>8</v>
      </c>
    </row>
    <row r="174" spans="1:3">
      <c r="A174" s="20" t="s">
        <v>110</v>
      </c>
      <c r="B174" t="str">
        <f>VLOOKUP(A174,Table1[[#All],[StudentID]:[StudentName]],5,0)</f>
        <v>Robert Taylor</v>
      </c>
      <c r="C174">
        <f>VLOOKUP(A174,Table1[[#All],[StudentID]:[Average GPA]],3,0)</f>
        <v>8</v>
      </c>
    </row>
    <row r="175" spans="1:3">
      <c r="A175" s="16" t="s">
        <v>117</v>
      </c>
      <c r="B175" t="str">
        <f>VLOOKUP(A175,Table1[[#All],[StudentID]:[StudentName]],5,0)</f>
        <v>Chris Evans</v>
      </c>
      <c r="C175">
        <f>VLOOKUP(A175,Table1[[#All],[StudentID]:[Average GPA]],3,0)</f>
        <v>8</v>
      </c>
    </row>
    <row r="176" spans="1:3">
      <c r="A176" s="16" t="s">
        <v>92</v>
      </c>
      <c r="B176" t="str">
        <f>VLOOKUP(A176,Table1[[#All],[StudentID]:[StudentName]],5,0)</f>
        <v>James Clark</v>
      </c>
      <c r="C176">
        <f>VLOOKUP(A176,Table1[[#All],[StudentID]:[Average GPA]],3,0)</f>
        <v>8</v>
      </c>
    </row>
    <row r="177" spans="1:3">
      <c r="A177" s="16" t="s">
        <v>126</v>
      </c>
      <c r="B177" t="str">
        <f>VLOOKUP(A177,Table1[[#All],[StudentID]:[StudentName]],5,0)</f>
        <v>Ankit Sharma</v>
      </c>
      <c r="C177">
        <f>VLOOKUP(A177,Table1[[#All],[StudentID]:[Average GPA]],3,0)</f>
        <v>8</v>
      </c>
    </row>
    <row r="178" spans="1:3">
      <c r="A178" s="16" t="s">
        <v>70</v>
      </c>
      <c r="B178" t="str">
        <f>VLOOKUP(A178,Table1[[#All],[StudentID]:[StudentName]],5,0)</f>
        <v>Sophia Wilson</v>
      </c>
      <c r="C178">
        <f>VLOOKUP(A178,Table1[[#All],[StudentID]:[Average GPA]],3,0)</f>
        <v>8</v>
      </c>
    </row>
    <row r="179" spans="1:3">
      <c r="A179" s="16" t="s">
        <v>76</v>
      </c>
      <c r="B179" t="str">
        <f>VLOOKUP(A179,Table1[[#All],[StudentID]:[StudentName]],5,0)</f>
        <v>Emily Davis</v>
      </c>
      <c r="C179">
        <f>VLOOKUP(A179,Table1[[#All],[StudentID]:[Average GPA]],3,0)</f>
        <v>8</v>
      </c>
    </row>
    <row r="180" spans="1:3">
      <c r="A180" s="16" t="s">
        <v>87</v>
      </c>
      <c r="B180" t="str">
        <f>VLOOKUP(A180,Table1[[#All],[StudentID]:[StudentName]],5,0)</f>
        <v>Sara Khan</v>
      </c>
      <c r="C180">
        <f>VLOOKUP(A180,Table1[[#All],[StudentID]:[Average GPA]],3,0)</f>
        <v>8</v>
      </c>
    </row>
    <row r="181" spans="1:3">
      <c r="A181" s="20" t="s">
        <v>117</v>
      </c>
      <c r="B181" t="str">
        <f>VLOOKUP(A181,Table1[[#All],[StudentID]:[StudentName]],5,0)</f>
        <v>Chris Evans</v>
      </c>
      <c r="C181">
        <f>VLOOKUP(A181,Table1[[#All],[StudentID]:[Average GPA]],3,0)</f>
        <v>8</v>
      </c>
    </row>
    <row r="182" spans="1:3">
      <c r="A182" s="20" t="s">
        <v>41</v>
      </c>
      <c r="B182" t="str">
        <f>VLOOKUP(A182,Table1[[#All],[StudentID]:[StudentName]],5,0)</f>
        <v>Raj Mehta</v>
      </c>
      <c r="C182">
        <f>VLOOKUP(A182,Table1[[#All],[StudentID]:[Average GPA]],3,0)</f>
        <v>8</v>
      </c>
    </row>
    <row r="183" spans="1:3">
      <c r="A183" s="20" t="s">
        <v>121</v>
      </c>
      <c r="B183" t="str">
        <f>VLOOKUP(A183,Table1[[#All],[StudentID]:[StudentName]],5,0)</f>
        <v>Ankit Sharma</v>
      </c>
      <c r="C183">
        <f>VLOOKUP(A183,Table1[[#All],[StudentID]:[Average GPA]],3,0)</f>
        <v>8</v>
      </c>
    </row>
    <row r="184" spans="1:3">
      <c r="A184" s="16" t="s">
        <v>96</v>
      </c>
      <c r="B184" t="str">
        <f>VLOOKUP(A184,Table1[[#All],[StudentID]:[StudentName]],5,0)</f>
        <v>Raj Mehta</v>
      </c>
      <c r="C184">
        <f>VLOOKUP(A184,Table1[[#All],[StudentID]:[Average GPA]],3,0)</f>
        <v>8</v>
      </c>
    </row>
    <row r="185" spans="1:3">
      <c r="A185" s="16" t="s">
        <v>70</v>
      </c>
      <c r="B185" t="str">
        <f>VLOOKUP(A185,Table1[[#All],[StudentID]:[StudentName]],5,0)</f>
        <v>Sophia Wilson</v>
      </c>
      <c r="C185">
        <f>VLOOKUP(A185,Table1[[#All],[StudentID]:[Average GPA]],3,0)</f>
        <v>8</v>
      </c>
    </row>
    <row r="186" spans="1:3">
      <c r="A186" s="16" t="s">
        <v>68</v>
      </c>
      <c r="B186" t="str">
        <f>VLOOKUP(A186,Table1[[#All],[StudentID]:[StudentName]],5,0)</f>
        <v>Daniel Lee</v>
      </c>
      <c r="C186">
        <f>VLOOKUP(A186,Table1[[#All],[StudentID]:[Average GPA]],3,0)</f>
        <v>8</v>
      </c>
    </row>
    <row r="187" spans="1:3">
      <c r="A187" s="16" t="s">
        <v>92</v>
      </c>
      <c r="B187" t="str">
        <f>VLOOKUP(A187,Table1[[#All],[StudentID]:[StudentName]],5,0)</f>
        <v>James Clark</v>
      </c>
      <c r="C187">
        <f>VLOOKUP(A187,Table1[[#All],[StudentID]:[Average GPA]],3,0)</f>
        <v>8</v>
      </c>
    </row>
    <row r="188" spans="1:3">
      <c r="A188" s="16" t="s">
        <v>110</v>
      </c>
      <c r="B188" t="str">
        <f>VLOOKUP(A188,Table1[[#All],[StudentID]:[StudentName]],5,0)</f>
        <v>Robert Taylor</v>
      </c>
      <c r="C188">
        <f>VLOOKUP(A188,Table1[[#All],[StudentID]:[Average GPA]],3,0)</f>
        <v>8</v>
      </c>
    </row>
    <row r="189" spans="1:3">
      <c r="A189" s="20" t="s">
        <v>29</v>
      </c>
      <c r="B189" t="str">
        <f>VLOOKUP(A189,Table1[[#All],[StudentID]:[StudentName]],5,0)</f>
        <v>Sara Khan</v>
      </c>
      <c r="C189">
        <f>VLOOKUP(A189,Table1[[#All],[StudentID]:[Average GPA]],3,0)</f>
        <v>8</v>
      </c>
    </row>
    <row r="190" spans="1:3">
      <c r="A190" s="20" t="s">
        <v>96</v>
      </c>
      <c r="B190" t="str">
        <f>VLOOKUP(A190,Table1[[#All],[StudentID]:[StudentName]],5,0)</f>
        <v>Raj Mehta</v>
      </c>
      <c r="C190">
        <f>VLOOKUP(A190,Table1[[#All],[StudentID]:[Average GPA]],3,0)</f>
        <v>8</v>
      </c>
    </row>
    <row r="191" spans="1:3">
      <c r="A191" s="16" t="s">
        <v>112</v>
      </c>
      <c r="B191" t="str">
        <f>VLOOKUP(A191,Table1[[#All],[StudentID]:[StudentName]],5,0)</f>
        <v>Robert Taylor</v>
      </c>
      <c r="C191">
        <f>VLOOKUP(A191,Table1[[#All],[StudentID]:[Average GPA]],3,0)</f>
        <v>6</v>
      </c>
    </row>
    <row r="192" spans="1:3">
      <c r="A192" s="20" t="s">
        <v>60</v>
      </c>
      <c r="B192" t="str">
        <f>VLOOKUP(A192,Table1[[#All],[StudentID]:[StudentName]],5,0)</f>
        <v>James Clark</v>
      </c>
      <c r="C192">
        <f>VLOOKUP(A192,Table1[[#All],[StudentID]:[Average GPA]],3,0)</f>
        <v>6</v>
      </c>
    </row>
    <row r="193" spans="1:3">
      <c r="A193" s="20" t="s">
        <v>103</v>
      </c>
      <c r="B193" t="str">
        <f>VLOOKUP(A193,Table1[[#All],[StudentID]:[StudentName]],5,0)</f>
        <v>Sara Khan</v>
      </c>
      <c r="C193">
        <f>VLOOKUP(A193,Table1[[#All],[StudentID]:[Average GPA]],3,0)</f>
        <v>6</v>
      </c>
    </row>
    <row r="194" spans="1:3">
      <c r="A194" s="16" t="s">
        <v>105</v>
      </c>
      <c r="B194" t="str">
        <f>VLOOKUP(A194,Table1[[#All],[StudentID]:[StudentName]],5,0)</f>
        <v>Raj Mehta</v>
      </c>
      <c r="C194">
        <f>VLOOKUP(A194,Table1[[#All],[StudentID]:[Average GPA]],3,0)</f>
        <v>6</v>
      </c>
    </row>
    <row r="195" spans="1:3">
      <c r="A195" s="20" t="s">
        <v>97</v>
      </c>
      <c r="B195" t="str">
        <f>VLOOKUP(A195,Table1[[#All],[StudentID]:[StudentName]],5,0)</f>
        <v>Ankit Sharma</v>
      </c>
      <c r="C195">
        <f>VLOOKUP(A195,Table1[[#All],[StudentID]:[Average GPA]],3,0)</f>
        <v>6</v>
      </c>
    </row>
    <row r="196" spans="1:3">
      <c r="A196" s="16" t="s">
        <v>32</v>
      </c>
      <c r="B196" t="str">
        <f>VLOOKUP(A196,Table1[[#All],[StudentID]:[StudentName]],5,0)</f>
        <v>Emily Davis</v>
      </c>
      <c r="C196">
        <f>VLOOKUP(A196,Table1[[#All],[StudentID]:[Average GPA]],3,0)</f>
        <v>6</v>
      </c>
    </row>
    <row r="197" spans="1:3">
      <c r="A197" s="20" t="s">
        <v>97</v>
      </c>
      <c r="B197" t="str">
        <f>VLOOKUP(A197,Table1[[#All],[StudentID]:[StudentName]],5,0)</f>
        <v>Ankit Sharma</v>
      </c>
      <c r="C197">
        <f>VLOOKUP(A197,Table1[[#All],[StudentID]:[Average GPA]],3,0)</f>
        <v>6</v>
      </c>
    </row>
    <row r="198" spans="1:3">
      <c r="A198" s="16" t="s">
        <v>60</v>
      </c>
      <c r="B198" t="str">
        <f>VLOOKUP(A198,Table1[[#All],[StudentID]:[StudentName]],5,0)</f>
        <v>James Clark</v>
      </c>
      <c r="C198">
        <f>VLOOKUP(A198,Table1[[#All],[StudentID]:[Average GPA]],3,0)</f>
        <v>6</v>
      </c>
    </row>
    <row r="199" spans="1:3">
      <c r="A199" s="20" t="s">
        <v>55</v>
      </c>
      <c r="B199" t="str">
        <f>VLOOKUP(A199,Table1[[#All],[StudentID]:[StudentName]],5,0)</f>
        <v>Sara Khan</v>
      </c>
      <c r="C199">
        <f>VLOOKUP(A199,Table1[[#All],[StudentID]:[Average GPA]],3,0)</f>
        <v>6</v>
      </c>
    </row>
    <row r="200" spans="1:3">
      <c r="A200" s="16" t="s">
        <v>5</v>
      </c>
      <c r="B200" t="str">
        <f>VLOOKUP(A200,Table1[[#All],[StudentID]:[StudentName]],5,0)</f>
        <v>Nisha Gupta</v>
      </c>
      <c r="C200">
        <f>VLOOKUP(A200,Table1[[#All],[StudentID]:[Average GPA]],3,0)</f>
        <v>6</v>
      </c>
    </row>
    <row r="201" spans="1:3">
      <c r="A201" s="16" t="s">
        <v>89</v>
      </c>
      <c r="B201" t="str">
        <f>VLOOKUP(A201,Table1[[#All],[StudentID]:[StudentName]],5,0)</f>
        <v>Priya Verma</v>
      </c>
      <c r="C201">
        <f>VLOOKUP(A201,Table1[[#All],[StudentID]:[Average GPA]],3,0)</f>
        <v>6</v>
      </c>
    </row>
    <row r="202" spans="1:3">
      <c r="A202" s="20" t="s">
        <v>89</v>
      </c>
      <c r="B202" t="str">
        <f>VLOOKUP(A202,Table1[[#All],[StudentID]:[StudentName]],5,0)</f>
        <v>Priya Verma</v>
      </c>
      <c r="C202">
        <f>VLOOKUP(A202,Table1[[#All],[StudentID]:[Average GPA]],3,0)</f>
        <v>6</v>
      </c>
    </row>
    <row r="203" spans="1:3">
      <c r="A203" s="16" t="s">
        <v>112</v>
      </c>
      <c r="B203" t="str">
        <f>VLOOKUP(A203,Table1[[#All],[StudentID]:[StudentName]],5,0)</f>
        <v>Robert Taylor</v>
      </c>
      <c r="C203">
        <f>VLOOKUP(A203,Table1[[#All],[StudentID]:[Average GPA]],3,0)</f>
        <v>6</v>
      </c>
    </row>
    <row r="204" spans="1:3">
      <c r="A204" s="16" t="s">
        <v>46</v>
      </c>
      <c r="B204" t="str">
        <f>VLOOKUP(A204,Table1[[#All],[StudentID]:[StudentName]],5,0)</f>
        <v>James Clark</v>
      </c>
      <c r="C204">
        <f>VLOOKUP(A204,Table1[[#All],[StudentID]:[Average GPA]],3,0)</f>
        <v>6</v>
      </c>
    </row>
    <row r="205" spans="1:3">
      <c r="A205" s="16" t="s">
        <v>69</v>
      </c>
      <c r="B205" t="str">
        <f>VLOOKUP(A205,Table1[[#All],[StudentID]:[StudentName]],5,0)</f>
        <v>Emily Davis</v>
      </c>
      <c r="C205">
        <f>VLOOKUP(A205,Table1[[#All],[StudentID]:[Average GPA]],3,0)</f>
        <v>6</v>
      </c>
    </row>
    <row r="206" spans="1:3">
      <c r="A206" s="20" t="s">
        <v>55</v>
      </c>
      <c r="B206" t="str">
        <f>VLOOKUP(A206,Table1[[#All],[StudentID]:[StudentName]],5,0)</f>
        <v>Sara Khan</v>
      </c>
      <c r="C206">
        <f>VLOOKUP(A206,Table1[[#All],[StudentID]:[Average GPA]],3,0)</f>
        <v>6</v>
      </c>
    </row>
    <row r="207" spans="1:3">
      <c r="A207" s="20" t="s">
        <v>105</v>
      </c>
      <c r="B207" t="str">
        <f>VLOOKUP(A207,Table1[[#All],[StudentID]:[StudentName]],5,0)</f>
        <v>Raj Mehta</v>
      </c>
      <c r="C207">
        <f>VLOOKUP(A207,Table1[[#All],[StudentID]:[Average GPA]],3,0)</f>
        <v>6</v>
      </c>
    </row>
    <row r="208" spans="1:3">
      <c r="A208" s="20" t="s">
        <v>69</v>
      </c>
      <c r="B208" t="str">
        <f>VLOOKUP(A208,Table1[[#All],[StudentID]:[StudentName]],5,0)</f>
        <v>Emily Davis</v>
      </c>
      <c r="C208">
        <f>VLOOKUP(A208,Table1[[#All],[StudentID]:[Average GPA]],3,0)</f>
        <v>6</v>
      </c>
    </row>
    <row r="209" spans="1:3">
      <c r="A209" s="16" t="s">
        <v>46</v>
      </c>
      <c r="B209" t="str">
        <f>VLOOKUP(A209,Table1[[#All],[StudentID]:[StudentName]],5,0)</f>
        <v>James Clark</v>
      </c>
      <c r="C209">
        <f>VLOOKUP(A209,Table1[[#All],[StudentID]:[Average GPA]],3,0)</f>
        <v>6</v>
      </c>
    </row>
    <row r="210" spans="1:3">
      <c r="A210" s="20" t="s">
        <v>58</v>
      </c>
      <c r="B210" t="str">
        <f>VLOOKUP(A210,Table1[[#All],[StudentID]:[StudentName]],5,0)</f>
        <v>Robert Taylor</v>
      </c>
      <c r="C210">
        <f>VLOOKUP(A210,Table1[[#All],[StudentID]:[Average GPA]],3,0)</f>
        <v>6</v>
      </c>
    </row>
    <row r="211" spans="1:3">
      <c r="A211" s="16" t="s">
        <v>97</v>
      </c>
      <c r="B211" t="str">
        <f>VLOOKUP(A211,Table1[[#All],[StudentID]:[StudentName]],5,0)</f>
        <v>Ankit Sharma</v>
      </c>
      <c r="C211">
        <f>VLOOKUP(A211,Table1[[#All],[StudentID]:[Average GPA]],3,0)</f>
        <v>6</v>
      </c>
    </row>
    <row r="212" spans="1:3">
      <c r="A212" s="20" t="s">
        <v>33</v>
      </c>
      <c r="B212" t="str">
        <f>VLOOKUP(A212,Table1[[#All],[StudentID]:[StudentName]],5,0)</f>
        <v>Emily Davis</v>
      </c>
      <c r="C212">
        <f>VLOOKUP(A212,Table1[[#All],[StudentID]:[Average GPA]],3,0)</f>
        <v>6</v>
      </c>
    </row>
    <row r="213" spans="1:3">
      <c r="A213" s="20" t="s">
        <v>88</v>
      </c>
      <c r="B213" t="str">
        <f>VLOOKUP(A213,Table1[[#All],[StudentID]:[StudentName]],5,0)</f>
        <v>Sneha Patil</v>
      </c>
      <c r="C213">
        <f>VLOOKUP(A213,Table1[[#All],[StudentID]:[Average GPA]],3,0)</f>
        <v>6</v>
      </c>
    </row>
    <row r="214" spans="1:3">
      <c r="A214" s="16" t="s">
        <v>105</v>
      </c>
      <c r="B214" t="str">
        <f>VLOOKUP(A214,Table1[[#All],[StudentID]:[StudentName]],5,0)</f>
        <v>Raj Mehta</v>
      </c>
      <c r="C214">
        <f>VLOOKUP(A214,Table1[[#All],[StudentID]:[Average GPA]],3,0)</f>
        <v>6</v>
      </c>
    </row>
    <row r="215" spans="1:3">
      <c r="A215" s="20" t="s">
        <v>58</v>
      </c>
      <c r="B215" t="str">
        <f>VLOOKUP(A215,Table1[[#All],[StudentID]:[StudentName]],5,0)</f>
        <v>Robert Taylor</v>
      </c>
      <c r="C215">
        <f>VLOOKUP(A215,Table1[[#All],[StudentID]:[Average GPA]],3,0)</f>
        <v>6</v>
      </c>
    </row>
    <row r="216" spans="1:3">
      <c r="A216" s="20" t="s">
        <v>5</v>
      </c>
      <c r="B216" t="str">
        <f>VLOOKUP(A216,Table1[[#All],[StudentID]:[StudentName]],5,0)</f>
        <v>Nisha Gupta</v>
      </c>
      <c r="C216">
        <f>VLOOKUP(A216,Table1[[#All],[StudentID]:[Average GPA]],3,0)</f>
        <v>6</v>
      </c>
    </row>
    <row r="217" spans="1:3">
      <c r="A217" s="16" t="s">
        <v>114</v>
      </c>
      <c r="B217" t="str">
        <f>VLOOKUP(A217,Table1[[#All],[StudentID]:[StudentName]],5,0)</f>
        <v>James Clark</v>
      </c>
      <c r="C217">
        <f>VLOOKUP(A217,Table1[[#All],[StudentID]:[Average GPA]],3,0)</f>
        <v>6</v>
      </c>
    </row>
    <row r="218" spans="1:3">
      <c r="A218" s="16" t="s">
        <v>103</v>
      </c>
      <c r="B218" t="str">
        <f>VLOOKUP(A218,Table1[[#All],[StudentID]:[StudentName]],5,0)</f>
        <v>Sara Khan</v>
      </c>
      <c r="C218">
        <f>VLOOKUP(A218,Table1[[#All],[StudentID]:[Average GPA]],3,0)</f>
        <v>6</v>
      </c>
    </row>
    <row r="219" spans="1:3">
      <c r="A219" s="16" t="s">
        <v>60</v>
      </c>
      <c r="B219" t="str">
        <f>VLOOKUP(A219,Table1[[#All],[StudentID]:[StudentName]],5,0)</f>
        <v>James Clark</v>
      </c>
      <c r="C219">
        <f>VLOOKUP(A219,Table1[[#All],[StudentID]:[Average GPA]],3,0)</f>
        <v>6</v>
      </c>
    </row>
    <row r="220" spans="1:3">
      <c r="A220" s="20" t="s">
        <v>112</v>
      </c>
      <c r="B220" t="str">
        <f>VLOOKUP(A220,Table1[[#All],[StudentID]:[StudentName]],5,0)</f>
        <v>Robert Taylor</v>
      </c>
      <c r="C220">
        <f>VLOOKUP(A220,Table1[[#All],[StudentID]:[Average GPA]],3,0)</f>
        <v>6</v>
      </c>
    </row>
    <row r="221" spans="1:3">
      <c r="A221" s="16" t="s">
        <v>79</v>
      </c>
      <c r="B221" t="str">
        <f>VLOOKUP(A221,Table1[[#All],[StudentID]:[StudentName]],5,0)</f>
        <v>Emily Davis</v>
      </c>
      <c r="C221">
        <f>VLOOKUP(A221,Table1[[#All],[StudentID]:[Average GPA]],3,0)</f>
        <v>6</v>
      </c>
    </row>
    <row r="222" spans="1:3">
      <c r="A222" s="16" t="s">
        <v>32</v>
      </c>
      <c r="B222" t="str">
        <f>VLOOKUP(A222,Table1[[#All],[StudentID]:[StudentName]],5,0)</f>
        <v>Emily Davis</v>
      </c>
      <c r="C222">
        <f>VLOOKUP(A222,Table1[[#All],[StudentID]:[Average GPA]],3,0)</f>
        <v>6</v>
      </c>
    </row>
    <row r="223" spans="1:3">
      <c r="A223" s="20" t="s">
        <v>32</v>
      </c>
      <c r="B223" t="str">
        <f>VLOOKUP(A223,Table1[[#All],[StudentID]:[StudentName]],5,0)</f>
        <v>Emily Davis</v>
      </c>
      <c r="C223">
        <f>VLOOKUP(A223,Table1[[#All],[StudentID]:[Average GPA]],3,0)</f>
        <v>6</v>
      </c>
    </row>
    <row r="224" spans="1:3">
      <c r="A224" s="16" t="s">
        <v>33</v>
      </c>
      <c r="B224" t="str">
        <f>VLOOKUP(A224,Table1[[#All],[StudentID]:[StudentName]],5,0)</f>
        <v>Emily Davis</v>
      </c>
      <c r="C224">
        <f>VLOOKUP(A224,Table1[[#All],[StudentID]:[Average GPA]],3,0)</f>
        <v>6</v>
      </c>
    </row>
    <row r="225" spans="1:3">
      <c r="A225" s="16" t="s">
        <v>105</v>
      </c>
      <c r="B225" t="str">
        <f>VLOOKUP(A225,Table1[[#All],[StudentID]:[StudentName]],5,0)</f>
        <v>Raj Mehta</v>
      </c>
      <c r="C225">
        <f>VLOOKUP(A225,Table1[[#All],[StudentID]:[Average GPA]],3,0)</f>
        <v>6</v>
      </c>
    </row>
    <row r="226" spans="1:3">
      <c r="A226" s="20" t="s">
        <v>60</v>
      </c>
      <c r="B226" t="str">
        <f>VLOOKUP(A226,Table1[[#All],[StudentID]:[StudentName]],5,0)</f>
        <v>James Clark</v>
      </c>
      <c r="C226">
        <f>VLOOKUP(A226,Table1[[#All],[StudentID]:[Average GPA]],3,0)</f>
        <v>6</v>
      </c>
    </row>
    <row r="227" spans="1:3">
      <c r="A227" s="20" t="s">
        <v>33</v>
      </c>
      <c r="B227" t="str">
        <f>VLOOKUP(A227,Table1[[#All],[StudentID]:[StudentName]],5,0)</f>
        <v>Emily Davis</v>
      </c>
      <c r="C227">
        <f>VLOOKUP(A227,Table1[[#All],[StudentID]:[Average GPA]],3,0)</f>
        <v>6</v>
      </c>
    </row>
    <row r="228" spans="1:3">
      <c r="A228" s="16" t="s">
        <v>24</v>
      </c>
      <c r="B228" t="str">
        <f>VLOOKUP(A228,Table1[[#All],[StudentID]:[StudentName]],5,0)</f>
        <v>Amit Kumar</v>
      </c>
      <c r="C228">
        <f>VLOOKUP(A228,Table1[[#All],[StudentID]:[Average GPA]],3,0)</f>
        <v>6</v>
      </c>
    </row>
    <row r="229" spans="1:3">
      <c r="A229" s="16" t="s">
        <v>60</v>
      </c>
      <c r="B229" t="str">
        <f>VLOOKUP(A229,Table1[[#All],[StudentID]:[StudentName]],5,0)</f>
        <v>James Clark</v>
      </c>
      <c r="C229">
        <f>VLOOKUP(A229,Table1[[#All],[StudentID]:[Average GPA]],3,0)</f>
        <v>6</v>
      </c>
    </row>
    <row r="230" spans="1:3">
      <c r="A230" s="20" t="s">
        <v>12</v>
      </c>
      <c r="B230" t="str">
        <f>VLOOKUP(A230,Table1[[#All],[StudentID]:[StudentName]],5,0)</f>
        <v>Nisha Gupta</v>
      </c>
      <c r="C230">
        <f>VLOOKUP(A230,Table1[[#All],[StudentID]:[Average GPA]],3,0)</f>
        <v>6</v>
      </c>
    </row>
    <row r="231" spans="1:3">
      <c r="A231" s="16" t="s">
        <v>33</v>
      </c>
      <c r="B231" t="str">
        <f>VLOOKUP(A231,Table1[[#All],[StudentID]:[StudentName]],5,0)</f>
        <v>Emily Davis</v>
      </c>
      <c r="C231">
        <f>VLOOKUP(A231,Table1[[#All],[StudentID]:[Average GPA]],3,0)</f>
        <v>6</v>
      </c>
    </row>
    <row r="232" spans="1:3">
      <c r="A232" s="16" t="s">
        <v>69</v>
      </c>
      <c r="B232" t="str">
        <f>VLOOKUP(A232,Table1[[#All],[StudentID]:[StudentName]],5,0)</f>
        <v>Emily Davis</v>
      </c>
      <c r="C232">
        <f>VLOOKUP(A232,Table1[[#All],[StudentID]:[Average GPA]],3,0)</f>
        <v>6</v>
      </c>
    </row>
    <row r="233" spans="1:3">
      <c r="A233" s="20" t="s">
        <v>114</v>
      </c>
      <c r="B233" t="str">
        <f>VLOOKUP(A233,Table1[[#All],[StudentID]:[StudentName]],5,0)</f>
        <v>James Clark</v>
      </c>
      <c r="C233">
        <f>VLOOKUP(A233,Table1[[#All],[StudentID]:[Average GPA]],3,0)</f>
        <v>6</v>
      </c>
    </row>
    <row r="234" spans="1:3">
      <c r="A234" s="20" t="s">
        <v>112</v>
      </c>
      <c r="B234" t="str">
        <f>VLOOKUP(A234,Table1[[#All],[StudentID]:[StudentName]],5,0)</f>
        <v>Robert Taylor</v>
      </c>
      <c r="C234">
        <f>VLOOKUP(A234,Table1[[#All],[StudentID]:[Average GPA]],3,0)</f>
        <v>6</v>
      </c>
    </row>
    <row r="235" spans="1:3">
      <c r="A235" s="16" t="s">
        <v>112</v>
      </c>
      <c r="B235" t="str">
        <f>VLOOKUP(A235,Table1[[#All],[StudentID]:[StudentName]],5,0)</f>
        <v>Robert Taylor</v>
      </c>
      <c r="C235">
        <f>VLOOKUP(A235,Table1[[#All],[StudentID]:[Average GPA]],3,0)</f>
        <v>6</v>
      </c>
    </row>
    <row r="236" spans="1:3">
      <c r="A236" s="20" t="s">
        <v>103</v>
      </c>
      <c r="B236" t="str">
        <f>VLOOKUP(A236,Table1[[#All],[StudentID]:[StudentName]],5,0)</f>
        <v>Sara Khan</v>
      </c>
      <c r="C236">
        <f>VLOOKUP(A236,Table1[[#All],[StudentID]:[Average GPA]],3,0)</f>
        <v>6</v>
      </c>
    </row>
    <row r="237" spans="1:3">
      <c r="A237" s="20" t="s">
        <v>5</v>
      </c>
      <c r="B237" t="str">
        <f>VLOOKUP(A237,Table1[[#All],[StudentID]:[StudentName]],5,0)</f>
        <v>Nisha Gupta</v>
      </c>
      <c r="C237">
        <f>VLOOKUP(A237,Table1[[#All],[StudentID]:[Average GPA]],3,0)</f>
        <v>6</v>
      </c>
    </row>
    <row r="238" spans="1:3">
      <c r="A238" s="20" t="s">
        <v>5</v>
      </c>
      <c r="B238" t="str">
        <f>VLOOKUP(A238,Table1[[#All],[StudentID]:[StudentName]],5,0)</f>
        <v>Nisha Gupta</v>
      </c>
      <c r="C238">
        <f>VLOOKUP(A238,Table1[[#All],[StudentID]:[Average GPA]],3,0)</f>
        <v>6</v>
      </c>
    </row>
    <row r="239" spans="1:3">
      <c r="A239" s="20" t="s">
        <v>12</v>
      </c>
      <c r="B239" t="str">
        <f>VLOOKUP(A239,Table1[[#All],[StudentID]:[StudentName]],5,0)</f>
        <v>Nisha Gupta</v>
      </c>
      <c r="C239">
        <f>VLOOKUP(A239,Table1[[#All],[StudentID]:[Average GPA]],3,0)</f>
        <v>6</v>
      </c>
    </row>
    <row r="240" spans="1:3">
      <c r="A240" s="20" t="s">
        <v>114</v>
      </c>
      <c r="B240" t="str">
        <f>VLOOKUP(A240,Table1[[#All],[StudentID]:[StudentName]],5,0)</f>
        <v>James Clark</v>
      </c>
      <c r="C240">
        <f>VLOOKUP(A240,Table1[[#All],[StudentID]:[Average GPA]],3,0)</f>
        <v>6</v>
      </c>
    </row>
    <row r="241" spans="1:3">
      <c r="A241" s="16" t="s">
        <v>60</v>
      </c>
      <c r="B241" t="str">
        <f>VLOOKUP(A241,Table1[[#All],[StudentID]:[StudentName]],5,0)</f>
        <v>James Clark</v>
      </c>
      <c r="C241">
        <f>VLOOKUP(A241,Table1[[#All],[StudentID]:[Average GPA]],3,0)</f>
        <v>6</v>
      </c>
    </row>
    <row r="242" spans="1:3">
      <c r="A242" s="20" t="s">
        <v>24</v>
      </c>
      <c r="B242" t="str">
        <f>VLOOKUP(A242,Table1[[#All],[StudentID]:[StudentName]],5,0)</f>
        <v>Amit Kumar</v>
      </c>
      <c r="C242">
        <f>VLOOKUP(A242,Table1[[#All],[StudentID]:[Average GPA]],3,0)</f>
        <v>6</v>
      </c>
    </row>
    <row r="243" spans="1:3">
      <c r="A243" s="16" t="s">
        <v>79</v>
      </c>
      <c r="B243" t="str">
        <f>VLOOKUP(A243,Table1[[#All],[StudentID]:[StudentName]],5,0)</f>
        <v>Emily Davis</v>
      </c>
      <c r="C243">
        <f>VLOOKUP(A243,Table1[[#All],[StudentID]:[Average GPA]],3,0)</f>
        <v>6</v>
      </c>
    </row>
    <row r="244" spans="1:3">
      <c r="A244" s="16" t="s">
        <v>33</v>
      </c>
      <c r="B244" t="str">
        <f>VLOOKUP(A244,Table1[[#All],[StudentID]:[StudentName]],5,0)</f>
        <v>Emily Davis</v>
      </c>
      <c r="C244">
        <f>VLOOKUP(A244,Table1[[#All],[StudentID]:[Average GPA]],3,0)</f>
        <v>6</v>
      </c>
    </row>
    <row r="245" spans="1:3">
      <c r="A245" s="16" t="s">
        <v>33</v>
      </c>
      <c r="B245" t="str">
        <f>VLOOKUP(A245,Table1[[#All],[StudentID]:[StudentName]],5,0)</f>
        <v>Emily Davis</v>
      </c>
      <c r="C245">
        <f>VLOOKUP(A245,Table1[[#All],[StudentID]:[Average GPA]],3,0)</f>
        <v>6</v>
      </c>
    </row>
    <row r="246" spans="1:3">
      <c r="A246" s="16" t="s">
        <v>103</v>
      </c>
      <c r="B246" t="str">
        <f>VLOOKUP(A246,Table1[[#All],[StudentID]:[StudentName]],5,0)</f>
        <v>Sara Khan</v>
      </c>
      <c r="C246">
        <f>VLOOKUP(A246,Table1[[#All],[StudentID]:[Average GPA]],3,0)</f>
        <v>6</v>
      </c>
    </row>
    <row r="247" spans="1:3">
      <c r="A247" s="20" t="s">
        <v>46</v>
      </c>
      <c r="B247" t="str">
        <f>VLOOKUP(A247,Table1[[#All],[StudentID]:[StudentName]],5,0)</f>
        <v>James Clark</v>
      </c>
      <c r="C247">
        <f>VLOOKUP(A247,Table1[[#All],[StudentID]:[Average GPA]],3,0)</f>
        <v>6</v>
      </c>
    </row>
    <row r="248" spans="1:3">
      <c r="A248" s="20" t="s">
        <v>97</v>
      </c>
      <c r="B248" t="str">
        <f>VLOOKUP(A248,Table1[[#All],[StudentID]:[StudentName]],5,0)</f>
        <v>Ankit Sharma</v>
      </c>
      <c r="C248">
        <f>VLOOKUP(A248,Table1[[#All],[StudentID]:[Average GPA]],3,0)</f>
        <v>6</v>
      </c>
    </row>
    <row r="249" spans="1:3">
      <c r="A249" s="16" t="s">
        <v>32</v>
      </c>
      <c r="B249" t="str">
        <f>VLOOKUP(A249,Table1[[#All],[StudentID]:[StudentName]],5,0)</f>
        <v>Emily Davis</v>
      </c>
      <c r="C249">
        <f>VLOOKUP(A249,Table1[[#All],[StudentID]:[Average GPA]],3,0)</f>
        <v>6</v>
      </c>
    </row>
    <row r="250" spans="1:3">
      <c r="A250" s="20" t="s">
        <v>105</v>
      </c>
      <c r="B250" t="str">
        <f>VLOOKUP(A250,Table1[[#All],[StudentID]:[StudentName]],5,0)</f>
        <v>Raj Mehta</v>
      </c>
      <c r="C250">
        <f>VLOOKUP(A250,Table1[[#All],[StudentID]:[Average GPA]],3,0)</f>
        <v>6</v>
      </c>
    </row>
    <row r="251" spans="1:3">
      <c r="A251" s="20" t="s">
        <v>5</v>
      </c>
      <c r="B251" t="str">
        <f>VLOOKUP(A251,Table1[[#All],[StudentID]:[StudentName]],5,0)</f>
        <v>Nisha Gupta</v>
      </c>
      <c r="C251">
        <f>VLOOKUP(A251,Table1[[#All],[StudentID]:[Average GPA]],3,0)</f>
        <v>6</v>
      </c>
    </row>
    <row r="252" spans="1:3">
      <c r="A252" s="20" t="s">
        <v>46</v>
      </c>
      <c r="B252" t="str">
        <f>VLOOKUP(A252,Table1[[#All],[StudentID]:[StudentName]],5,0)</f>
        <v>James Clark</v>
      </c>
      <c r="C252">
        <f>VLOOKUP(A252,Table1[[#All],[StudentID]:[Average GPA]],3,0)</f>
        <v>6</v>
      </c>
    </row>
    <row r="253" spans="1:3">
      <c r="A253" s="20" t="s">
        <v>60</v>
      </c>
      <c r="B253" t="str">
        <f>VLOOKUP(A253,Table1[[#All],[StudentID]:[StudentName]],5,0)</f>
        <v>James Clark</v>
      </c>
      <c r="C253">
        <f>VLOOKUP(A253,Table1[[#All],[StudentID]:[Average GPA]],3,0)</f>
        <v>6</v>
      </c>
    </row>
    <row r="254" spans="1:3">
      <c r="A254" s="16" t="s">
        <v>112</v>
      </c>
      <c r="B254" t="str">
        <f>VLOOKUP(A254,Table1[[#All],[StudentID]:[StudentName]],5,0)</f>
        <v>Robert Taylor</v>
      </c>
      <c r="C254">
        <f>VLOOKUP(A254,Table1[[#All],[StudentID]:[Average GPA]],3,0)</f>
        <v>6</v>
      </c>
    </row>
    <row r="255" spans="1:3">
      <c r="A255" s="20" t="s">
        <v>88</v>
      </c>
      <c r="B255" t="str">
        <f>VLOOKUP(A255,Table1[[#All],[StudentID]:[StudentName]],5,0)</f>
        <v>Sneha Patil</v>
      </c>
      <c r="C255">
        <f>VLOOKUP(A255,Table1[[#All],[StudentID]:[Average GPA]],3,0)</f>
        <v>6</v>
      </c>
    </row>
    <row r="256" spans="1:3">
      <c r="A256" s="20" t="s">
        <v>33</v>
      </c>
      <c r="B256" t="str">
        <f>VLOOKUP(A256,Table1[[#All],[StudentID]:[StudentName]],5,0)</f>
        <v>Emily Davis</v>
      </c>
      <c r="C256">
        <f>VLOOKUP(A256,Table1[[#All],[StudentID]:[Average GPA]],3,0)</f>
        <v>6</v>
      </c>
    </row>
    <row r="257" spans="1:3">
      <c r="A257" s="16" t="s">
        <v>105</v>
      </c>
      <c r="B257" t="str">
        <f>VLOOKUP(A257,Table1[[#All],[StudentID]:[StudentName]],5,0)</f>
        <v>Raj Mehta</v>
      </c>
      <c r="C257">
        <f>VLOOKUP(A257,Table1[[#All],[StudentID]:[Average GPA]],3,0)</f>
        <v>6</v>
      </c>
    </row>
    <row r="258" spans="1:3">
      <c r="A258" s="16" t="s">
        <v>32</v>
      </c>
      <c r="B258" t="str">
        <f>VLOOKUP(A258,Table1[[#All],[StudentID]:[StudentName]],5,0)</f>
        <v>Emily Davis</v>
      </c>
      <c r="C258">
        <f>VLOOKUP(A258,Table1[[#All],[StudentID]:[Average GPA]],3,0)</f>
        <v>6</v>
      </c>
    </row>
    <row r="259" spans="1:3">
      <c r="A259" s="20" t="s">
        <v>55</v>
      </c>
      <c r="B259" t="str">
        <f>VLOOKUP(A259,Table1[[#All],[StudentID]:[StudentName]],5,0)</f>
        <v>Sara Khan</v>
      </c>
      <c r="C259">
        <f>VLOOKUP(A259,Table1[[#All],[StudentID]:[Average GPA]],3,0)</f>
        <v>6</v>
      </c>
    </row>
    <row r="260" spans="1:3">
      <c r="A260" s="20" t="s">
        <v>103</v>
      </c>
      <c r="B260" t="str">
        <f>VLOOKUP(A260,Table1[[#All],[StudentID]:[StudentName]],5,0)</f>
        <v>Sara Khan</v>
      </c>
      <c r="C260">
        <f>VLOOKUP(A260,Table1[[#All],[StudentID]:[Average GPA]],3,0)</f>
        <v>6</v>
      </c>
    </row>
    <row r="261" spans="1:3">
      <c r="A261" s="16" t="s">
        <v>33</v>
      </c>
      <c r="B261" t="str">
        <f>VLOOKUP(A261,Table1[[#All],[StudentID]:[StudentName]],5,0)</f>
        <v>Emily Davis</v>
      </c>
      <c r="C261">
        <f>VLOOKUP(A261,Table1[[#All],[StudentID]:[Average GPA]],3,0)</f>
        <v>6</v>
      </c>
    </row>
    <row r="262" spans="1:3">
      <c r="A262" s="16" t="s">
        <v>105</v>
      </c>
      <c r="B262" t="str">
        <f>VLOOKUP(A262,Table1[[#All],[StudentID]:[StudentName]],5,0)</f>
        <v>Raj Mehta</v>
      </c>
      <c r="C262">
        <f>VLOOKUP(A262,Table1[[#All],[StudentID]:[Average GPA]],3,0)</f>
        <v>6</v>
      </c>
    </row>
    <row r="263" spans="1:3">
      <c r="A263" s="20" t="s">
        <v>105</v>
      </c>
      <c r="B263" t="str">
        <f>VLOOKUP(A263,Table1[[#All],[StudentID]:[StudentName]],5,0)</f>
        <v>Raj Mehta</v>
      </c>
      <c r="C263">
        <f>VLOOKUP(A263,Table1[[#All],[StudentID]:[Average GPA]],3,0)</f>
        <v>6</v>
      </c>
    </row>
    <row r="264" spans="1:3">
      <c r="A264" s="16" t="s">
        <v>12</v>
      </c>
      <c r="B264" t="str">
        <f>VLOOKUP(A264,Table1[[#All],[StudentID]:[StudentName]],5,0)</f>
        <v>Nisha Gupta</v>
      </c>
      <c r="C264">
        <f>VLOOKUP(A264,Table1[[#All],[StudentID]:[Average GPA]],3,0)</f>
        <v>6</v>
      </c>
    </row>
    <row r="265" spans="1:3">
      <c r="A265" s="16" t="s">
        <v>103</v>
      </c>
      <c r="B265" t="str">
        <f>VLOOKUP(A265,Table1[[#All],[StudentID]:[StudentName]],5,0)</f>
        <v>Sara Khan</v>
      </c>
      <c r="C265">
        <f>VLOOKUP(A265,Table1[[#All],[StudentID]:[Average GPA]],3,0)</f>
        <v>6</v>
      </c>
    </row>
    <row r="266" spans="1:3">
      <c r="A266" s="16" t="s">
        <v>79</v>
      </c>
      <c r="B266" t="str">
        <f>VLOOKUP(A266,Table1[[#All],[StudentID]:[StudentName]],5,0)</f>
        <v>Emily Davis</v>
      </c>
      <c r="C266">
        <f>VLOOKUP(A266,Table1[[#All],[StudentID]:[Average GPA]],3,0)</f>
        <v>6</v>
      </c>
    </row>
    <row r="267" spans="1:3">
      <c r="A267" s="20" t="s">
        <v>79</v>
      </c>
      <c r="B267" t="str">
        <f>VLOOKUP(A267,Table1[[#All],[StudentID]:[StudentName]],5,0)</f>
        <v>Emily Davis</v>
      </c>
      <c r="C267">
        <f>VLOOKUP(A267,Table1[[#All],[StudentID]:[Average GPA]],3,0)</f>
        <v>6</v>
      </c>
    </row>
    <row r="268" spans="1:3">
      <c r="A268" s="16" t="s">
        <v>114</v>
      </c>
      <c r="B268" t="str">
        <f>VLOOKUP(A268,Table1[[#All],[StudentID]:[StudentName]],5,0)</f>
        <v>James Clark</v>
      </c>
      <c r="C268">
        <f>VLOOKUP(A268,Table1[[#All],[StudentID]:[Average GPA]],3,0)</f>
        <v>6</v>
      </c>
    </row>
    <row r="269" spans="1:3">
      <c r="A269" s="20" t="s">
        <v>79</v>
      </c>
      <c r="B269" t="str">
        <f>VLOOKUP(A269,Table1[[#All],[StudentID]:[StudentName]],5,0)</f>
        <v>Emily Davis</v>
      </c>
      <c r="C269">
        <f>VLOOKUP(A269,Table1[[#All],[StudentID]:[Average GPA]],3,0)</f>
        <v>6</v>
      </c>
    </row>
    <row r="270" spans="1:3">
      <c r="A270" s="16" t="s">
        <v>46</v>
      </c>
      <c r="B270" t="str">
        <f>VLOOKUP(A270,Table1[[#All],[StudentID]:[StudentName]],5,0)</f>
        <v>James Clark</v>
      </c>
      <c r="C270">
        <f>VLOOKUP(A270,Table1[[#All],[StudentID]:[Average GPA]],3,0)</f>
        <v>6</v>
      </c>
    </row>
    <row r="271" spans="1:3">
      <c r="A271" s="20" t="s">
        <v>112</v>
      </c>
      <c r="B271" t="str">
        <f>VLOOKUP(A271,Table1[[#All],[StudentID]:[StudentName]],5,0)</f>
        <v>Robert Taylor</v>
      </c>
      <c r="C271">
        <f>VLOOKUP(A271,Table1[[#All],[StudentID]:[Average GPA]],3,0)</f>
        <v>6</v>
      </c>
    </row>
    <row r="272" spans="1:3">
      <c r="A272" s="16" t="s">
        <v>88</v>
      </c>
      <c r="B272" t="str">
        <f>VLOOKUP(A272,Table1[[#All],[StudentID]:[StudentName]],5,0)</f>
        <v>Sneha Patil</v>
      </c>
      <c r="C272">
        <f>VLOOKUP(A272,Table1[[#All],[StudentID]:[Average GPA]],3,0)</f>
        <v>6</v>
      </c>
    </row>
    <row r="273" spans="1:3">
      <c r="A273" s="20" t="s">
        <v>58</v>
      </c>
      <c r="B273" t="str">
        <f>VLOOKUP(A273,Table1[[#All],[StudentID]:[StudentName]],5,0)</f>
        <v>Robert Taylor</v>
      </c>
      <c r="C273">
        <f>VLOOKUP(A273,Table1[[#All],[StudentID]:[Average GPA]],3,0)</f>
        <v>6</v>
      </c>
    </row>
    <row r="274" spans="1:3">
      <c r="A274" s="20" t="s">
        <v>112</v>
      </c>
      <c r="B274" t="str">
        <f>VLOOKUP(A274,Table1[[#All],[StudentID]:[StudentName]],5,0)</f>
        <v>Robert Taylor</v>
      </c>
      <c r="C274">
        <f>VLOOKUP(A274,Table1[[#All],[StudentID]:[Average GPA]],3,0)</f>
        <v>6</v>
      </c>
    </row>
    <row r="275" spans="1:3">
      <c r="A275" s="16" t="s">
        <v>105</v>
      </c>
      <c r="B275" t="str">
        <f>VLOOKUP(A275,Table1[[#All],[StudentID]:[StudentName]],5,0)</f>
        <v>Raj Mehta</v>
      </c>
      <c r="C275">
        <f>VLOOKUP(A275,Table1[[#All],[StudentID]:[Average GPA]],3,0)</f>
        <v>6</v>
      </c>
    </row>
    <row r="276" spans="1:3">
      <c r="A276" s="20" t="s">
        <v>88</v>
      </c>
      <c r="B276" t="str">
        <f>VLOOKUP(A276,Table1[[#All],[StudentID]:[StudentName]],5,0)</f>
        <v>Sneha Patil</v>
      </c>
      <c r="C276">
        <f>VLOOKUP(A276,Table1[[#All],[StudentID]:[Average GPA]],3,0)</f>
        <v>6</v>
      </c>
    </row>
    <row r="277" spans="1:3">
      <c r="A277" s="16" t="s">
        <v>97</v>
      </c>
      <c r="B277" t="str">
        <f>VLOOKUP(A277,Table1[[#All],[StudentID]:[StudentName]],5,0)</f>
        <v>Ankit Sharma</v>
      </c>
      <c r="C277">
        <f>VLOOKUP(A277,Table1[[#All],[StudentID]:[Average GPA]],3,0)</f>
        <v>6</v>
      </c>
    </row>
    <row r="278" spans="1:3">
      <c r="A278" s="20" t="s">
        <v>32</v>
      </c>
      <c r="B278" t="str">
        <f>VLOOKUP(A278,Table1[[#All],[StudentID]:[StudentName]],5,0)</f>
        <v>Emily Davis</v>
      </c>
      <c r="C278">
        <f>VLOOKUP(A278,Table1[[#All],[StudentID]:[Average GPA]],3,0)</f>
        <v>6</v>
      </c>
    </row>
    <row r="279" spans="1:3">
      <c r="A279" s="20" t="s">
        <v>116</v>
      </c>
      <c r="B279" t="str">
        <f>VLOOKUP(A279,Table1[[#All],[StudentID]:[StudentName]],5,0)</f>
        <v>Amit Kumar</v>
      </c>
      <c r="C279">
        <f>VLOOKUP(A279,Table1[[#All],[StudentID]:[Average GPA]],3,0)</f>
        <v>4</v>
      </c>
    </row>
    <row r="280" spans="1:3">
      <c r="A280" s="16" t="s">
        <v>13</v>
      </c>
      <c r="B280" t="str">
        <f>VLOOKUP(A280,Table1[[#All],[StudentID]:[StudentName]],5,0)</f>
        <v>Ankit Sharma</v>
      </c>
      <c r="C280">
        <f>VLOOKUP(A280,Table1[[#All],[StudentID]:[Average GPA]],3,0)</f>
        <v>4</v>
      </c>
    </row>
    <row r="281" spans="1:3">
      <c r="A281" s="16" t="s">
        <v>109</v>
      </c>
      <c r="B281" t="str">
        <f>VLOOKUP(A281,Table1[[#All],[StudentID]:[StudentName]],5,0)</f>
        <v>Chris Evans</v>
      </c>
      <c r="C281">
        <f>VLOOKUP(A281,Table1[[#All],[StudentID]:[Average GPA]],3,0)</f>
        <v>4</v>
      </c>
    </row>
    <row r="282" spans="1:3">
      <c r="A282" s="20" t="s">
        <v>13</v>
      </c>
      <c r="B282" t="str">
        <f>VLOOKUP(A282,Table1[[#All],[StudentID]:[StudentName]],5,0)</f>
        <v>Ankit Sharma</v>
      </c>
      <c r="C282">
        <f>VLOOKUP(A282,Table1[[#All],[StudentID]:[Average GPA]],3,0)</f>
        <v>4</v>
      </c>
    </row>
    <row r="283" spans="1:3">
      <c r="A283" s="20" t="s">
        <v>91</v>
      </c>
      <c r="B283" t="str">
        <f>VLOOKUP(A283,Table1[[#All],[StudentID]:[StudentName]],5,0)</f>
        <v>Michael Brown</v>
      </c>
      <c r="C283">
        <f>VLOOKUP(A283,Table1[[#All],[StudentID]:[Average GPA]],3,0)</f>
        <v>4</v>
      </c>
    </row>
    <row r="284" spans="1:3">
      <c r="A284" s="20" t="s">
        <v>48</v>
      </c>
      <c r="B284" t="str">
        <f>VLOOKUP(A284,Table1[[#All],[StudentID]:[StudentName]],5,0)</f>
        <v>Sara Khan</v>
      </c>
      <c r="C284">
        <f>VLOOKUP(A284,Table1[[#All],[StudentID]:[Average GPA]],3,0)</f>
        <v>4</v>
      </c>
    </row>
    <row r="285" spans="1:3">
      <c r="A285" s="20" t="s">
        <v>86</v>
      </c>
      <c r="B285" t="str">
        <f>VLOOKUP(A285,Table1[[#All],[StudentID]:[StudentName]],5,0)</f>
        <v>Sneha Patil</v>
      </c>
      <c r="C285">
        <f>VLOOKUP(A285,Table1[[#All],[StudentID]:[Average GPA]],3,0)</f>
        <v>4</v>
      </c>
    </row>
    <row r="286" spans="1:3">
      <c r="A286" s="16" t="s">
        <v>118</v>
      </c>
      <c r="B286" t="str">
        <f>VLOOKUP(A286,Table1[[#All],[StudentID]:[StudentName]],5,0)</f>
        <v>Ankit Sharma</v>
      </c>
      <c r="C286">
        <f>VLOOKUP(A286,Table1[[#All],[StudentID]:[Average GPA]],3,0)</f>
        <v>4</v>
      </c>
    </row>
    <row r="287" spans="1:3">
      <c r="A287" s="20" t="s">
        <v>116</v>
      </c>
      <c r="B287" t="str">
        <f>VLOOKUP(A287,Table1[[#All],[StudentID]:[StudentName]],5,0)</f>
        <v>Amit Kumar</v>
      </c>
      <c r="C287">
        <f>VLOOKUP(A287,Table1[[#All],[StudentID]:[Average GPA]],3,0)</f>
        <v>4</v>
      </c>
    </row>
    <row r="288" spans="1:3">
      <c r="A288" s="20" t="s">
        <v>125</v>
      </c>
      <c r="B288" t="str">
        <f>VLOOKUP(A288,Table1[[#All],[StudentID]:[StudentName]],5,0)</f>
        <v>Sophia Wilson</v>
      </c>
      <c r="C288">
        <f>VLOOKUP(A288,Table1[[#All],[StudentID]:[Average GPA]],3,0)</f>
        <v>4</v>
      </c>
    </row>
    <row r="289" spans="1:3">
      <c r="A289" s="16" t="s">
        <v>27</v>
      </c>
      <c r="B289" t="str">
        <f>VLOOKUP(A289,Table1[[#All],[StudentID]:[StudentName]],5,0)</f>
        <v>Daniel Lee</v>
      </c>
      <c r="C289">
        <f>VLOOKUP(A289,Table1[[#All],[StudentID]:[Average GPA]],3,0)</f>
        <v>4</v>
      </c>
    </row>
    <row r="290" spans="1:3">
      <c r="A290" s="20" t="s">
        <v>124</v>
      </c>
      <c r="B290" t="str">
        <f>VLOOKUP(A290,Table1[[#All],[StudentID]:[StudentName]],5,0)</f>
        <v>James Clark</v>
      </c>
      <c r="C290">
        <f>VLOOKUP(A290,Table1[[#All],[StudentID]:[Average GPA]],3,0)</f>
        <v>4</v>
      </c>
    </row>
    <row r="291" spans="1:3">
      <c r="A291" s="20" t="s">
        <v>66</v>
      </c>
      <c r="B291" t="str">
        <f>VLOOKUP(A291,Table1[[#All],[StudentID]:[StudentName]],5,0)</f>
        <v>Chris Evans</v>
      </c>
      <c r="C291">
        <f>VLOOKUP(A291,Table1[[#All],[StudentID]:[Average GPA]],3,0)</f>
        <v>4</v>
      </c>
    </row>
    <row r="292" spans="1:3">
      <c r="A292" s="20" t="s">
        <v>57</v>
      </c>
      <c r="B292" t="str">
        <f>VLOOKUP(A292,Table1[[#All],[StudentID]:[StudentName]],5,0)</f>
        <v>Daniel Lee</v>
      </c>
      <c r="C292">
        <f>VLOOKUP(A292,Table1[[#All],[StudentID]:[Average GPA]],3,0)</f>
        <v>4</v>
      </c>
    </row>
    <row r="293" spans="1:3">
      <c r="A293" s="16" t="s">
        <v>99</v>
      </c>
      <c r="B293" t="str">
        <f>VLOOKUP(A293,Table1[[#All],[StudentID]:[StudentName]],5,0)</f>
        <v>Raj Mehta</v>
      </c>
      <c r="C293">
        <f>VLOOKUP(A293,Table1[[#All],[StudentID]:[Average GPA]],3,0)</f>
        <v>4</v>
      </c>
    </row>
    <row r="294" spans="1:3">
      <c r="A294" s="20" t="s">
        <v>125</v>
      </c>
      <c r="B294" t="str">
        <f>VLOOKUP(A294,Table1[[#All],[StudentID]:[StudentName]],5,0)</f>
        <v>Sophia Wilson</v>
      </c>
      <c r="C294">
        <f>VLOOKUP(A294,Table1[[#All],[StudentID]:[Average GPA]],3,0)</f>
        <v>4</v>
      </c>
    </row>
    <row r="295" spans="1:3">
      <c r="A295" s="16" t="s">
        <v>99</v>
      </c>
      <c r="B295" t="str">
        <f>VLOOKUP(A295,Table1[[#All],[StudentID]:[StudentName]],5,0)</f>
        <v>Raj Mehta</v>
      </c>
      <c r="C295">
        <f>VLOOKUP(A295,Table1[[#All],[StudentID]:[Average GPA]],3,0)</f>
        <v>4</v>
      </c>
    </row>
    <row r="296" spans="1:3">
      <c r="A296" s="16" t="s">
        <v>9</v>
      </c>
      <c r="B296" t="str">
        <f>VLOOKUP(A296,Table1[[#All],[StudentID]:[StudentName]],5,0)</f>
        <v>Sneha Patil</v>
      </c>
      <c r="C296">
        <f>VLOOKUP(A296,Table1[[#All],[StudentID]:[Average GPA]],3,0)</f>
        <v>4</v>
      </c>
    </row>
    <row r="297" spans="1:3">
      <c r="A297" s="16" t="s">
        <v>116</v>
      </c>
      <c r="B297" t="str">
        <f>VLOOKUP(A297,Table1[[#All],[StudentID]:[StudentName]],5,0)</f>
        <v>Amit Kumar</v>
      </c>
      <c r="C297">
        <f>VLOOKUP(A297,Table1[[#All],[StudentID]:[Average GPA]],3,0)</f>
        <v>4</v>
      </c>
    </row>
    <row r="298" spans="1:3">
      <c r="A298" s="20" t="s">
        <v>57</v>
      </c>
      <c r="B298" t="str">
        <f>VLOOKUP(A298,Table1[[#All],[StudentID]:[StudentName]],5,0)</f>
        <v>Daniel Lee</v>
      </c>
      <c r="C298">
        <f>VLOOKUP(A298,Table1[[#All],[StudentID]:[Average GPA]],3,0)</f>
        <v>4</v>
      </c>
    </row>
    <row r="299" spans="1:3">
      <c r="A299" s="20" t="s">
        <v>48</v>
      </c>
      <c r="B299" t="str">
        <f>VLOOKUP(A299,Table1[[#All],[StudentID]:[StudentName]],5,0)</f>
        <v>Sara Khan</v>
      </c>
      <c r="C299">
        <f>VLOOKUP(A299,Table1[[#All],[StudentID]:[Average GPA]],3,0)</f>
        <v>4</v>
      </c>
    </row>
    <row r="300" spans="1:3">
      <c r="A300" s="20" t="s">
        <v>116</v>
      </c>
      <c r="B300" t="str">
        <f>VLOOKUP(A300,Table1[[#All],[StudentID]:[StudentName]],5,0)</f>
        <v>Amit Kumar</v>
      </c>
      <c r="C300">
        <f>VLOOKUP(A300,Table1[[#All],[StudentID]:[Average GPA]],3,0)</f>
        <v>4</v>
      </c>
    </row>
    <row r="301" spans="1:3">
      <c r="A301" s="16" t="s">
        <v>9</v>
      </c>
      <c r="B301" t="str">
        <f>VLOOKUP(A301,Table1[[#All],[StudentID]:[StudentName]],5,0)</f>
        <v>Sneha Patil</v>
      </c>
      <c r="C301">
        <f>VLOOKUP(A301,Table1[[#All],[StudentID]:[Average GPA]],3,0)</f>
        <v>4</v>
      </c>
    </row>
    <row r="302" spans="1:3">
      <c r="A302" s="16" t="s">
        <v>21</v>
      </c>
      <c r="B302" t="str">
        <f>VLOOKUP(A302,Table1[[#All],[StudentID]:[StudentName]],5,0)</f>
        <v>Robert Taylor</v>
      </c>
      <c r="C302">
        <f>VLOOKUP(A302,Table1[[#All],[StudentID]:[Average GPA]],3,0)</f>
        <v>4</v>
      </c>
    </row>
    <row r="303" spans="1:3">
      <c r="A303" s="20" t="s">
        <v>27</v>
      </c>
      <c r="B303" t="str">
        <f>VLOOKUP(A303,Table1[[#All],[StudentID]:[StudentName]],5,0)</f>
        <v>Daniel Lee</v>
      </c>
      <c r="C303">
        <f>VLOOKUP(A303,Table1[[#All],[StudentID]:[Average GPA]],3,0)</f>
        <v>4</v>
      </c>
    </row>
    <row r="304" spans="1:3">
      <c r="A304" s="20" t="s">
        <v>99</v>
      </c>
      <c r="B304" t="str">
        <f>VLOOKUP(A304,Table1[[#All],[StudentID]:[StudentName]],5,0)</f>
        <v>Raj Mehta</v>
      </c>
      <c r="C304">
        <f>VLOOKUP(A304,Table1[[#All],[StudentID]:[Average GPA]],3,0)</f>
        <v>4</v>
      </c>
    </row>
    <row r="305" spans="1:3">
      <c r="A305" s="16" t="s">
        <v>36</v>
      </c>
      <c r="B305" t="str">
        <f>VLOOKUP(A305,Table1[[#All],[StudentID]:[StudentName]],5,0)</f>
        <v>Sophia Wilson</v>
      </c>
      <c r="C305">
        <f>VLOOKUP(A305,Table1[[#All],[StudentID]:[Average GPA]],3,0)</f>
        <v>4</v>
      </c>
    </row>
    <row r="306" spans="1:3">
      <c r="A306" s="16" t="s">
        <v>109</v>
      </c>
      <c r="B306" t="str">
        <f>VLOOKUP(A306,Table1[[#All],[StudentID]:[StudentName]],5,0)</f>
        <v>Chris Evans</v>
      </c>
      <c r="C306">
        <f>VLOOKUP(A306,Table1[[#All],[StudentID]:[Average GPA]],3,0)</f>
        <v>4</v>
      </c>
    </row>
    <row r="307" spans="1:3">
      <c r="A307" s="20" t="s">
        <v>36</v>
      </c>
      <c r="B307" t="str">
        <f>VLOOKUP(A307,Table1[[#All],[StudentID]:[StudentName]],5,0)</f>
        <v>Sophia Wilson</v>
      </c>
      <c r="C307">
        <f>VLOOKUP(A307,Table1[[#All],[StudentID]:[Average GPA]],3,0)</f>
        <v>4</v>
      </c>
    </row>
    <row r="308" spans="1:3">
      <c r="A308" s="20" t="s">
        <v>13</v>
      </c>
      <c r="B308" t="str">
        <f>VLOOKUP(A308,Table1[[#All],[StudentID]:[StudentName]],5,0)</f>
        <v>Ankit Sharma</v>
      </c>
      <c r="C308">
        <f>VLOOKUP(A308,Table1[[#All],[StudentID]:[Average GPA]],3,0)</f>
        <v>4</v>
      </c>
    </row>
    <row r="309" spans="1:3">
      <c r="A309" s="16" t="s">
        <v>124</v>
      </c>
      <c r="B309" t="str">
        <f>VLOOKUP(A309,Table1[[#All],[StudentID]:[StudentName]],5,0)</f>
        <v>James Clark</v>
      </c>
      <c r="C309">
        <f>VLOOKUP(A309,Table1[[#All],[StudentID]:[Average GPA]],3,0)</f>
        <v>4</v>
      </c>
    </row>
    <row r="310" spans="1:3">
      <c r="A310" s="20" t="s">
        <v>124</v>
      </c>
      <c r="B310" t="str">
        <f>VLOOKUP(A310,Table1[[#All],[StudentID]:[StudentName]],5,0)</f>
        <v>James Clark</v>
      </c>
      <c r="C310">
        <f>VLOOKUP(A310,Table1[[#All],[StudentID]:[Average GPA]],3,0)</f>
        <v>4</v>
      </c>
    </row>
    <row r="311" spans="1:3">
      <c r="A311" s="20" t="s">
        <v>124</v>
      </c>
      <c r="B311" t="str">
        <f>VLOOKUP(A311,Table1[[#All],[StudentID]:[StudentName]],5,0)</f>
        <v>James Clark</v>
      </c>
      <c r="C311">
        <f>VLOOKUP(A311,Table1[[#All],[StudentID]:[Average GPA]],3,0)</f>
        <v>4</v>
      </c>
    </row>
    <row r="312" spans="1:3">
      <c r="A312" s="20" t="s">
        <v>21</v>
      </c>
      <c r="B312" t="str">
        <f>VLOOKUP(A312,Table1[[#All],[StudentID]:[StudentName]],5,0)</f>
        <v>Robert Taylor</v>
      </c>
      <c r="C312">
        <f>VLOOKUP(A312,Table1[[#All],[StudentID]:[Average GPA]],3,0)</f>
        <v>4</v>
      </c>
    </row>
    <row r="313" spans="1:3">
      <c r="A313" s="20" t="s">
        <v>13</v>
      </c>
      <c r="B313" t="str">
        <f>VLOOKUP(A313,Table1[[#All],[StudentID]:[StudentName]],5,0)</f>
        <v>Ankit Sharma</v>
      </c>
      <c r="C313">
        <f>VLOOKUP(A313,Table1[[#All],[StudentID]:[Average GPA]],3,0)</f>
        <v>4</v>
      </c>
    </row>
    <row r="314" spans="1:3">
      <c r="A314" s="16" t="s">
        <v>36</v>
      </c>
      <c r="B314" t="str">
        <f>VLOOKUP(A314,Table1[[#All],[StudentID]:[StudentName]],5,0)</f>
        <v>Sophia Wilson</v>
      </c>
      <c r="C314">
        <f>VLOOKUP(A314,Table1[[#All],[StudentID]:[Average GPA]],3,0)</f>
        <v>4</v>
      </c>
    </row>
    <row r="315" spans="1:3">
      <c r="A315" s="16" t="s">
        <v>27</v>
      </c>
      <c r="B315" t="str">
        <f>VLOOKUP(A315,Table1[[#All],[StudentID]:[StudentName]],5,0)</f>
        <v>Daniel Lee</v>
      </c>
      <c r="C315">
        <f>VLOOKUP(A315,Table1[[#All],[StudentID]:[Average GPA]],3,0)</f>
        <v>4</v>
      </c>
    </row>
    <row r="316" spans="1:3">
      <c r="A316" s="20" t="s">
        <v>91</v>
      </c>
      <c r="B316" t="str">
        <f>VLOOKUP(A316,Table1[[#All],[StudentID]:[StudentName]],5,0)</f>
        <v>Michael Brown</v>
      </c>
      <c r="C316">
        <f>VLOOKUP(A316,Table1[[#All],[StudentID]:[Average GPA]],3,0)</f>
        <v>4</v>
      </c>
    </row>
    <row r="317" spans="1:3">
      <c r="A317" s="20" t="s">
        <v>9</v>
      </c>
      <c r="B317" t="str">
        <f>VLOOKUP(A317,Table1[[#All],[StudentID]:[StudentName]],5,0)</f>
        <v>Sneha Patil</v>
      </c>
      <c r="C317">
        <f>VLOOKUP(A317,Table1[[#All],[StudentID]:[Average GPA]],3,0)</f>
        <v>4</v>
      </c>
    </row>
    <row r="318" spans="1:3">
      <c r="A318" s="16" t="s">
        <v>113</v>
      </c>
      <c r="B318" t="str">
        <f>VLOOKUP(A318,Table1[[#All],[StudentID]:[StudentName]],5,0)</f>
        <v>Nisha Gupta</v>
      </c>
      <c r="C318">
        <f>VLOOKUP(A318,Table1[[#All],[StudentID]:[Average GPA]],3,0)</f>
        <v>4</v>
      </c>
    </row>
    <row r="319" spans="1:3">
      <c r="A319" s="16" t="s">
        <v>124</v>
      </c>
      <c r="B319" t="str">
        <f>VLOOKUP(A319,Table1[[#All],[StudentID]:[StudentName]],5,0)</f>
        <v>James Clark</v>
      </c>
      <c r="C319">
        <f>VLOOKUP(A319,Table1[[#All],[StudentID]:[Average GPA]],3,0)</f>
        <v>4</v>
      </c>
    </row>
    <row r="320" spans="1:3">
      <c r="A320" s="16" t="s">
        <v>66</v>
      </c>
      <c r="B320" t="str">
        <f>VLOOKUP(A320,Table1[[#All],[StudentID]:[StudentName]],5,0)</f>
        <v>Chris Evans</v>
      </c>
      <c r="C320">
        <f>VLOOKUP(A320,Table1[[#All],[StudentID]:[Average GPA]],3,0)</f>
        <v>4</v>
      </c>
    </row>
    <row r="321" spans="1:3">
      <c r="A321" s="16" t="s">
        <v>57</v>
      </c>
      <c r="B321" t="str">
        <f>VLOOKUP(A321,Table1[[#All],[StudentID]:[StudentName]],5,0)</f>
        <v>Daniel Lee</v>
      </c>
      <c r="C321">
        <f>VLOOKUP(A321,Table1[[#All],[StudentID]:[Average GPA]],3,0)</f>
        <v>4</v>
      </c>
    </row>
    <row r="322" spans="1:3">
      <c r="A322" s="20" t="s">
        <v>113</v>
      </c>
      <c r="B322" t="str">
        <f>VLOOKUP(A322,Table1[[#All],[StudentID]:[StudentName]],5,0)</f>
        <v>Nisha Gupta</v>
      </c>
      <c r="C322">
        <f>VLOOKUP(A322,Table1[[#All],[StudentID]:[Average GPA]],3,0)</f>
        <v>4</v>
      </c>
    </row>
    <row r="323" spans="1:3">
      <c r="A323" s="16" t="s">
        <v>63</v>
      </c>
      <c r="B323" t="str">
        <f>VLOOKUP(A323,Table1[[#All],[StudentID]:[StudentName]],5,0)</f>
        <v>Amit Kumar</v>
      </c>
      <c r="C323">
        <f>VLOOKUP(A323,Table1[[#All],[StudentID]:[Average GPA]],3,0)</f>
        <v>4</v>
      </c>
    </row>
    <row r="324" spans="1:3">
      <c r="A324" s="16" t="s">
        <v>99</v>
      </c>
      <c r="B324" t="str">
        <f>VLOOKUP(A324,Table1[[#All],[StudentID]:[StudentName]],5,0)</f>
        <v>Raj Mehta</v>
      </c>
      <c r="C324">
        <f>VLOOKUP(A324,Table1[[#All],[StudentID]:[Average GPA]],3,0)</f>
        <v>4</v>
      </c>
    </row>
    <row r="325" spans="1:3">
      <c r="A325" s="20" t="s">
        <v>113</v>
      </c>
      <c r="B325" t="str">
        <f>VLOOKUP(A325,Table1[[#All],[StudentID]:[StudentName]],5,0)</f>
        <v>Nisha Gupta</v>
      </c>
      <c r="C325">
        <f>VLOOKUP(A325,Table1[[#All],[StudentID]:[Average GPA]],3,0)</f>
        <v>4</v>
      </c>
    </row>
    <row r="326" spans="1:3">
      <c r="A326" s="16" t="s">
        <v>66</v>
      </c>
      <c r="B326" t="str">
        <f>VLOOKUP(A326,Table1[[#All],[StudentID]:[StudentName]],5,0)</f>
        <v>Chris Evans</v>
      </c>
      <c r="C326">
        <f>VLOOKUP(A326,Table1[[#All],[StudentID]:[Average GPA]],3,0)</f>
        <v>4</v>
      </c>
    </row>
    <row r="327" spans="1:3">
      <c r="A327" s="16" t="s">
        <v>9</v>
      </c>
      <c r="B327" t="str">
        <f>VLOOKUP(A327,Table1[[#All],[StudentID]:[StudentName]],5,0)</f>
        <v>Sneha Patil</v>
      </c>
      <c r="C327">
        <f>VLOOKUP(A327,Table1[[#All],[StudentID]:[Average GPA]],3,0)</f>
        <v>4</v>
      </c>
    </row>
    <row r="328" spans="1:3">
      <c r="A328" s="20" t="s">
        <v>116</v>
      </c>
      <c r="B328" t="str">
        <f>VLOOKUP(A328,Table1[[#All],[StudentID]:[StudentName]],5,0)</f>
        <v>Amit Kumar</v>
      </c>
      <c r="C328">
        <f>VLOOKUP(A328,Table1[[#All],[StudentID]:[Average GPA]],3,0)</f>
        <v>4</v>
      </c>
    </row>
    <row r="329" spans="1:3">
      <c r="A329" s="16" t="s">
        <v>95</v>
      </c>
      <c r="B329" t="str">
        <f>VLOOKUP(A329,Table1[[#All],[StudentID]:[StudentName]],5,0)</f>
        <v>Sneha Patil</v>
      </c>
      <c r="C329">
        <f>VLOOKUP(A329,Table1[[#All],[StudentID]:[Average GPA]],3,0)</f>
        <v>4</v>
      </c>
    </row>
    <row r="330" spans="1:3">
      <c r="A330" s="20" t="s">
        <v>36</v>
      </c>
      <c r="B330" t="str">
        <f>VLOOKUP(A330,Table1[[#All],[StudentID]:[StudentName]],5,0)</f>
        <v>Sophia Wilson</v>
      </c>
      <c r="C330">
        <f>VLOOKUP(A330,Table1[[#All],[StudentID]:[Average GPA]],3,0)</f>
        <v>4</v>
      </c>
    </row>
    <row r="331" spans="1:3">
      <c r="A331" s="16" t="s">
        <v>109</v>
      </c>
      <c r="B331" t="str">
        <f>VLOOKUP(A331,Table1[[#All],[StudentID]:[StudentName]],5,0)</f>
        <v>Chris Evans</v>
      </c>
      <c r="C331">
        <f>VLOOKUP(A331,Table1[[#All],[StudentID]:[Average GPA]],3,0)</f>
        <v>4</v>
      </c>
    </row>
    <row r="332" spans="1:3">
      <c r="A332" s="16" t="s">
        <v>27</v>
      </c>
      <c r="B332" t="str">
        <f>VLOOKUP(A332,Table1[[#All],[StudentID]:[StudentName]],5,0)</f>
        <v>Daniel Lee</v>
      </c>
      <c r="C332">
        <f>VLOOKUP(A332,Table1[[#All],[StudentID]:[Average GPA]],3,0)</f>
        <v>4</v>
      </c>
    </row>
    <row r="333" spans="1:3">
      <c r="A333" s="16" t="s">
        <v>9</v>
      </c>
      <c r="B333" t="str">
        <f>VLOOKUP(A333,Table1[[#All],[StudentID]:[StudentName]],5,0)</f>
        <v>Sneha Patil</v>
      </c>
      <c r="C333">
        <f>VLOOKUP(A333,Table1[[#All],[StudentID]:[Average GPA]],3,0)</f>
        <v>4</v>
      </c>
    </row>
    <row r="334" spans="1:3">
      <c r="A334" s="20" t="s">
        <v>109</v>
      </c>
      <c r="B334" t="str">
        <f>VLOOKUP(A334,Table1[[#All],[StudentID]:[StudentName]],5,0)</f>
        <v>Chris Evans</v>
      </c>
      <c r="C334">
        <f>VLOOKUP(A334,Table1[[#All],[StudentID]:[Average GPA]],3,0)</f>
        <v>4</v>
      </c>
    </row>
    <row r="335" spans="1:3">
      <c r="A335" s="20" t="s">
        <v>118</v>
      </c>
      <c r="B335" t="str">
        <f>VLOOKUP(A335,Table1[[#All],[StudentID]:[StudentName]],5,0)</f>
        <v>Ankit Sharma</v>
      </c>
      <c r="C335">
        <f>VLOOKUP(A335,Table1[[#All],[StudentID]:[Average GPA]],3,0)</f>
        <v>4</v>
      </c>
    </row>
    <row r="336" spans="1:3">
      <c r="A336" s="16" t="s">
        <v>66</v>
      </c>
      <c r="B336" t="str">
        <f>VLOOKUP(A336,Table1[[#All],[StudentID]:[StudentName]],5,0)</f>
        <v>Chris Evans</v>
      </c>
      <c r="C336">
        <f>VLOOKUP(A336,Table1[[#All],[StudentID]:[Average GPA]],3,0)</f>
        <v>4</v>
      </c>
    </row>
    <row r="337" spans="1:3">
      <c r="A337" s="20" t="s">
        <v>124</v>
      </c>
      <c r="B337" t="str">
        <f>VLOOKUP(A337,Table1[[#All],[StudentID]:[StudentName]],5,0)</f>
        <v>James Clark</v>
      </c>
      <c r="C337">
        <f>VLOOKUP(A337,Table1[[#All],[StudentID]:[Average GPA]],3,0)</f>
        <v>4</v>
      </c>
    </row>
    <row r="338" spans="1:3">
      <c r="A338" s="16" t="s">
        <v>27</v>
      </c>
      <c r="B338" t="str">
        <f>VLOOKUP(A338,Table1[[#All],[StudentID]:[StudentName]],5,0)</f>
        <v>Daniel Lee</v>
      </c>
      <c r="C338">
        <f>VLOOKUP(A338,Table1[[#All],[StudentID]:[Average GPA]],3,0)</f>
        <v>4</v>
      </c>
    </row>
    <row r="339" spans="1:3">
      <c r="A339" s="16" t="s">
        <v>21</v>
      </c>
      <c r="B339" t="str">
        <f>VLOOKUP(A339,Table1[[#All],[StudentID]:[StudentName]],5,0)</f>
        <v>Robert Taylor</v>
      </c>
      <c r="C339">
        <f>VLOOKUP(A339,Table1[[#All],[StudentID]:[Average GPA]],3,0)</f>
        <v>4</v>
      </c>
    </row>
    <row r="340" spans="1:3">
      <c r="A340" s="20" t="s">
        <v>113</v>
      </c>
      <c r="B340" t="str">
        <f>VLOOKUP(A340,Table1[[#All],[StudentID]:[StudentName]],5,0)</f>
        <v>Nisha Gupta</v>
      </c>
      <c r="C340">
        <f>VLOOKUP(A340,Table1[[#All],[StudentID]:[Average GPA]],3,0)</f>
        <v>4</v>
      </c>
    </row>
    <row r="341" spans="1:3">
      <c r="A341" s="20" t="s">
        <v>113</v>
      </c>
      <c r="B341" t="str">
        <f>VLOOKUP(A341,Table1[[#All],[StudentID]:[StudentName]],5,0)</f>
        <v>Nisha Gupta</v>
      </c>
      <c r="C341">
        <f>VLOOKUP(A341,Table1[[#All],[StudentID]:[Average GPA]],3,0)</f>
        <v>4</v>
      </c>
    </row>
    <row r="342" spans="1:3">
      <c r="A342" s="16" t="s">
        <v>125</v>
      </c>
      <c r="B342" t="str">
        <f>VLOOKUP(A342,Table1[[#All],[StudentID]:[StudentName]],5,0)</f>
        <v>Sophia Wilson</v>
      </c>
      <c r="C342">
        <f>VLOOKUP(A342,Table1[[#All],[StudentID]:[Average GPA]],3,0)</f>
        <v>4</v>
      </c>
    </row>
    <row r="343" spans="1:3">
      <c r="A343" s="20" t="s">
        <v>66</v>
      </c>
      <c r="B343" t="str">
        <f>VLOOKUP(A343,Table1[[#All],[StudentID]:[StudentName]],5,0)</f>
        <v>Chris Evans</v>
      </c>
      <c r="C343">
        <f>VLOOKUP(A343,Table1[[#All],[StudentID]:[Average GPA]],3,0)</f>
        <v>4</v>
      </c>
    </row>
    <row r="344" spans="1:3">
      <c r="A344" s="16" t="s">
        <v>125</v>
      </c>
      <c r="B344" t="str">
        <f>VLOOKUP(A344,Table1[[#All],[StudentID]:[StudentName]],5,0)</f>
        <v>Sophia Wilson</v>
      </c>
      <c r="C344">
        <f>VLOOKUP(A344,Table1[[#All],[StudentID]:[Average GPA]],3,0)</f>
        <v>4</v>
      </c>
    </row>
    <row r="345" spans="1:3">
      <c r="A345" s="20" t="s">
        <v>27</v>
      </c>
      <c r="B345" t="str">
        <f>VLOOKUP(A345,Table1[[#All],[StudentID]:[StudentName]],5,0)</f>
        <v>Daniel Lee</v>
      </c>
      <c r="C345">
        <f>VLOOKUP(A345,Table1[[#All],[StudentID]:[Average GPA]],3,0)</f>
        <v>4</v>
      </c>
    </row>
    <row r="346" spans="1:3">
      <c r="A346" s="20" t="s">
        <v>91</v>
      </c>
      <c r="B346" t="str">
        <f>VLOOKUP(A346,Table1[[#All],[StudentID]:[StudentName]],5,0)</f>
        <v>Michael Brown</v>
      </c>
      <c r="C346">
        <f>VLOOKUP(A346,Table1[[#All],[StudentID]:[Average GPA]],3,0)</f>
        <v>4</v>
      </c>
    </row>
    <row r="347" spans="1:3">
      <c r="A347" s="16" t="s">
        <v>86</v>
      </c>
      <c r="B347" t="str">
        <f>VLOOKUP(A347,Table1[[#All],[StudentID]:[StudentName]],5,0)</f>
        <v>Sneha Patil</v>
      </c>
      <c r="C347">
        <f>VLOOKUP(A347,Table1[[#All],[StudentID]:[Average GPA]],3,0)</f>
        <v>4</v>
      </c>
    </row>
    <row r="348" spans="1:3">
      <c r="A348" s="16" t="s">
        <v>118</v>
      </c>
      <c r="B348" t="str">
        <f>VLOOKUP(A348,Table1[[#All],[StudentID]:[StudentName]],5,0)</f>
        <v>Ankit Sharma</v>
      </c>
      <c r="C348">
        <f>VLOOKUP(A348,Table1[[#All],[StudentID]:[Average GPA]],3,0)</f>
        <v>4</v>
      </c>
    </row>
    <row r="349" spans="1:3">
      <c r="A349" s="20" t="s">
        <v>57</v>
      </c>
      <c r="B349" t="str">
        <f>VLOOKUP(A349,Table1[[#All],[StudentID]:[StudentName]],5,0)</f>
        <v>Daniel Lee</v>
      </c>
      <c r="C349">
        <f>VLOOKUP(A349,Table1[[#All],[StudentID]:[Average GPA]],3,0)</f>
        <v>4</v>
      </c>
    </row>
    <row r="350" spans="1:3">
      <c r="A350" s="16" t="s">
        <v>125</v>
      </c>
      <c r="B350" t="str">
        <f>VLOOKUP(A350,Table1[[#All],[StudentID]:[StudentName]],5,0)</f>
        <v>Sophia Wilson</v>
      </c>
      <c r="C350">
        <f>VLOOKUP(A350,Table1[[#All],[StudentID]:[Average GPA]],3,0)</f>
        <v>4</v>
      </c>
    </row>
    <row r="351" spans="1:3">
      <c r="A351" s="16" t="s">
        <v>86</v>
      </c>
      <c r="B351" t="str">
        <f>VLOOKUP(A351,Table1[[#All],[StudentID]:[StudentName]],5,0)</f>
        <v>Sneha Patil</v>
      </c>
      <c r="C351">
        <f>VLOOKUP(A351,Table1[[#All],[StudentID]:[Average GPA]],3,0)</f>
        <v>4</v>
      </c>
    </row>
    <row r="352" spans="1:3">
      <c r="A352" s="16" t="s">
        <v>57</v>
      </c>
      <c r="B352" t="str">
        <f>VLOOKUP(A352,Table1[[#All],[StudentID]:[StudentName]],5,0)</f>
        <v>Daniel Lee</v>
      </c>
      <c r="C352">
        <f>VLOOKUP(A352,Table1[[#All],[StudentID]:[Average GPA]],3,0)</f>
        <v>4</v>
      </c>
    </row>
    <row r="353" spans="1:3">
      <c r="A353" s="20" t="s">
        <v>13</v>
      </c>
      <c r="B353" t="str">
        <f>VLOOKUP(A353,Table1[[#All],[StudentID]:[StudentName]],5,0)</f>
        <v>Ankit Sharma</v>
      </c>
      <c r="C353">
        <f>VLOOKUP(A353,Table1[[#All],[StudentID]:[Average GPA]],3,0)</f>
        <v>4</v>
      </c>
    </row>
    <row r="354" spans="1:3">
      <c r="A354" s="16" t="s">
        <v>91</v>
      </c>
      <c r="B354" t="str">
        <f>VLOOKUP(A354,Table1[[#All],[StudentID]:[StudentName]],5,0)</f>
        <v>Michael Brown</v>
      </c>
      <c r="C354">
        <f>VLOOKUP(A354,Table1[[#All],[StudentID]:[Average GPA]],3,0)</f>
        <v>4</v>
      </c>
    </row>
    <row r="355" spans="1:3">
      <c r="A355" s="16" t="s">
        <v>116</v>
      </c>
      <c r="B355" t="str">
        <f>VLOOKUP(A355,Table1[[#All],[StudentID]:[StudentName]],5,0)</f>
        <v>Amit Kumar</v>
      </c>
      <c r="C355">
        <f>VLOOKUP(A355,Table1[[#All],[StudentID]:[Average GPA]],3,0)</f>
        <v>4</v>
      </c>
    </row>
    <row r="356" spans="1:3">
      <c r="A356" s="16" t="s">
        <v>57</v>
      </c>
      <c r="B356" t="str">
        <f>VLOOKUP(A356,Table1[[#All],[StudentID]:[StudentName]],5,0)</f>
        <v>Daniel Lee</v>
      </c>
      <c r="C356">
        <f>VLOOKUP(A356,Table1[[#All],[StudentID]:[Average GPA]],3,0)</f>
        <v>4</v>
      </c>
    </row>
    <row r="357" spans="1:3">
      <c r="A357" s="16" t="s">
        <v>36</v>
      </c>
      <c r="B357" t="str">
        <f>VLOOKUP(A357,Table1[[#All],[StudentID]:[StudentName]],5,0)</f>
        <v>Sophia Wilson</v>
      </c>
      <c r="C357">
        <f>VLOOKUP(A357,Table1[[#All],[StudentID]:[Average GPA]],3,0)</f>
        <v>4</v>
      </c>
    </row>
    <row r="358" spans="1:3">
      <c r="A358" s="16" t="s">
        <v>118</v>
      </c>
      <c r="B358" t="str">
        <f>VLOOKUP(A358,Table1[[#All],[StudentID]:[StudentName]],5,0)</f>
        <v>Ankit Sharma</v>
      </c>
      <c r="C358">
        <f>VLOOKUP(A358,Table1[[#All],[StudentID]:[Average GPA]],3,0)</f>
        <v>4</v>
      </c>
    </row>
    <row r="359" spans="1:3">
      <c r="A359" s="16" t="s">
        <v>27</v>
      </c>
      <c r="B359" t="str">
        <f>VLOOKUP(A359,Table1[[#All],[StudentID]:[StudentName]],5,0)</f>
        <v>Daniel Lee</v>
      </c>
      <c r="C359">
        <f>VLOOKUP(A359,Table1[[#All],[StudentID]:[Average GPA]],3,0)</f>
        <v>4</v>
      </c>
    </row>
    <row r="360" spans="1:3">
      <c r="A360" s="20" t="s">
        <v>125</v>
      </c>
      <c r="B360" t="str">
        <f>VLOOKUP(A360,Table1[[#All],[StudentID]:[StudentName]],5,0)</f>
        <v>Sophia Wilson</v>
      </c>
      <c r="C360">
        <f>VLOOKUP(A360,Table1[[#All],[StudentID]:[Average GPA]],3,0)</f>
        <v>4</v>
      </c>
    </row>
    <row r="361" spans="1:3">
      <c r="A361" s="20" t="s">
        <v>109</v>
      </c>
      <c r="B361" t="str">
        <f>VLOOKUP(A361,Table1[[#All],[StudentID]:[StudentName]],5,0)</f>
        <v>Chris Evans</v>
      </c>
      <c r="C361">
        <f>VLOOKUP(A361,Table1[[#All],[StudentID]:[Average GPA]],3,0)</f>
        <v>4</v>
      </c>
    </row>
    <row r="362" spans="1:3">
      <c r="A362" s="20" t="s">
        <v>118</v>
      </c>
      <c r="B362" t="str">
        <f>VLOOKUP(A362,Table1[[#All],[StudentID]:[StudentName]],5,0)</f>
        <v>Ankit Sharma</v>
      </c>
      <c r="C362">
        <f>VLOOKUP(A362,Table1[[#All],[StudentID]:[Average GPA]],3,0)</f>
        <v>4</v>
      </c>
    </row>
    <row r="363" spans="1:3">
      <c r="A363" s="20" t="s">
        <v>36</v>
      </c>
      <c r="B363" t="str">
        <f>VLOOKUP(A363,Table1[[#All],[StudentID]:[StudentName]],5,0)</f>
        <v>Sophia Wilson</v>
      </c>
      <c r="C363">
        <f>VLOOKUP(A363,Table1[[#All],[StudentID]:[Average GPA]],3,0)</f>
        <v>4</v>
      </c>
    </row>
    <row r="364" spans="1:3">
      <c r="A364" s="16" t="s">
        <v>13</v>
      </c>
      <c r="B364" t="str">
        <f>VLOOKUP(A364,Table1[[#All],[StudentID]:[StudentName]],5,0)</f>
        <v>Ankit Sharma</v>
      </c>
      <c r="C364">
        <f>VLOOKUP(A364,Table1[[#All],[StudentID]:[Average GPA]],3,0)</f>
        <v>4</v>
      </c>
    </row>
    <row r="365" spans="1:3">
      <c r="A365" s="20" t="s">
        <v>118</v>
      </c>
      <c r="B365" t="str">
        <f>VLOOKUP(A365,Table1[[#All],[StudentID]:[StudentName]],5,0)</f>
        <v>Ankit Sharma</v>
      </c>
      <c r="C365">
        <f>VLOOKUP(A365,Table1[[#All],[StudentID]:[Average GPA]],3,0)</f>
        <v>4</v>
      </c>
    </row>
    <row r="366" spans="1:3">
      <c r="A366" s="20" t="s">
        <v>63</v>
      </c>
      <c r="B366" t="str">
        <f>VLOOKUP(A366,Table1[[#All],[StudentID]:[StudentName]],5,0)</f>
        <v>Amit Kumar</v>
      </c>
      <c r="C366">
        <f>VLOOKUP(A366,Table1[[#All],[StudentID]:[Average GPA]],3,0)</f>
        <v>4</v>
      </c>
    </row>
    <row r="367" spans="1:3">
      <c r="A367" s="20" t="s">
        <v>86</v>
      </c>
      <c r="B367" t="str">
        <f>VLOOKUP(A367,Table1[[#All],[StudentID]:[StudentName]],5,0)</f>
        <v>Sneha Patil</v>
      </c>
      <c r="C367">
        <f>VLOOKUP(A367,Table1[[#All],[StudentID]:[Average GPA]],3,0)</f>
        <v>4</v>
      </c>
    </row>
    <row r="368" spans="1:3">
      <c r="A368" s="16" t="s">
        <v>27</v>
      </c>
      <c r="B368" t="str">
        <f>VLOOKUP(A368,Table1[[#All],[StudentID]:[StudentName]],5,0)</f>
        <v>Daniel Lee</v>
      </c>
      <c r="C368">
        <f>VLOOKUP(A368,Table1[[#All],[StudentID]:[Average GPA]],3,0)</f>
        <v>4</v>
      </c>
    </row>
    <row r="369" spans="1:3">
      <c r="A369" s="20" t="s">
        <v>86</v>
      </c>
      <c r="B369" t="str">
        <f>VLOOKUP(A369,Table1[[#All],[StudentID]:[StudentName]],5,0)</f>
        <v>Sneha Patil</v>
      </c>
      <c r="C369">
        <f>VLOOKUP(A369,Table1[[#All],[StudentID]:[Average GPA]],3,0)</f>
        <v>4</v>
      </c>
    </row>
    <row r="370" spans="1:3">
      <c r="A370" s="20" t="s">
        <v>125</v>
      </c>
      <c r="B370" t="str">
        <f>VLOOKUP(A370,Table1[[#All],[StudentID]:[StudentName]],5,0)</f>
        <v>Sophia Wilson</v>
      </c>
      <c r="C370">
        <f>VLOOKUP(A370,Table1[[#All],[StudentID]:[Average GPA]],3,0)</f>
        <v>4</v>
      </c>
    </row>
    <row r="371" spans="1:3">
      <c r="A371" s="16" t="s">
        <v>36</v>
      </c>
      <c r="B371" t="str">
        <f>VLOOKUP(A371,Table1[[#All],[StudentID]:[StudentName]],5,0)</f>
        <v>Sophia Wilson</v>
      </c>
      <c r="C371">
        <f>VLOOKUP(A371,Table1[[#All],[StudentID]:[Average GPA]],3,0)</f>
        <v>4</v>
      </c>
    </row>
    <row r="372" spans="1:3">
      <c r="A372" s="20" t="s">
        <v>57</v>
      </c>
      <c r="B372" t="str">
        <f>VLOOKUP(A372,Table1[[#All],[StudentID]:[StudentName]],5,0)</f>
        <v>Daniel Lee</v>
      </c>
      <c r="C372">
        <f>VLOOKUP(A372,Table1[[#All],[StudentID]:[Average GPA]],3,0)</f>
        <v>4</v>
      </c>
    </row>
    <row r="373" spans="1:3">
      <c r="A373" s="20" t="s">
        <v>91</v>
      </c>
      <c r="B373" t="str">
        <f>VLOOKUP(A373,Table1[[#All],[StudentID]:[StudentName]],5,0)</f>
        <v>Michael Brown</v>
      </c>
      <c r="C373">
        <f>VLOOKUP(A373,Table1[[#All],[StudentID]:[Average GPA]],3,0)</f>
        <v>4</v>
      </c>
    </row>
    <row r="374" spans="1:3">
      <c r="A374" s="20" t="s">
        <v>99</v>
      </c>
      <c r="B374" t="str">
        <f>VLOOKUP(A374,Table1[[#All],[StudentID]:[StudentName]],5,0)</f>
        <v>Raj Mehta</v>
      </c>
      <c r="C374">
        <f>VLOOKUP(A374,Table1[[#All],[StudentID]:[Average GPA]],3,0)</f>
        <v>4</v>
      </c>
    </row>
    <row r="375" spans="1:3">
      <c r="A375" s="20" t="s">
        <v>125</v>
      </c>
      <c r="B375" t="str">
        <f>VLOOKUP(A375,Table1[[#All],[StudentID]:[StudentName]],5,0)</f>
        <v>Sophia Wilson</v>
      </c>
      <c r="C375">
        <f>VLOOKUP(A375,Table1[[#All],[StudentID]:[Average GPA]],3,0)</f>
        <v>4</v>
      </c>
    </row>
    <row r="376" spans="1:3">
      <c r="A376" s="20" t="s">
        <v>66</v>
      </c>
      <c r="B376" t="str">
        <f>VLOOKUP(A376,Table1[[#All],[StudentID]:[StudentName]],5,0)</f>
        <v>Chris Evans</v>
      </c>
      <c r="C376">
        <f>VLOOKUP(A376,Table1[[#All],[StudentID]:[Average GPA]],3,0)</f>
        <v>4</v>
      </c>
    </row>
    <row r="377" spans="1:3">
      <c r="A377" s="16" t="s">
        <v>124</v>
      </c>
      <c r="B377" t="str">
        <f>VLOOKUP(A377,Table1[[#All],[StudentID]:[StudentName]],5,0)</f>
        <v>James Clark</v>
      </c>
      <c r="C377">
        <f>VLOOKUP(A377,Table1[[#All],[StudentID]:[Average GPA]],3,0)</f>
        <v>4</v>
      </c>
    </row>
    <row r="378" spans="1:3">
      <c r="A378" s="16" t="s">
        <v>21</v>
      </c>
      <c r="B378" t="str">
        <f>VLOOKUP(A378,Table1[[#All],[StudentID]:[StudentName]],5,0)</f>
        <v>Robert Taylor</v>
      </c>
      <c r="C378">
        <f>VLOOKUP(A378,Table1[[#All],[StudentID]:[Average GPA]],3,0)</f>
        <v>4</v>
      </c>
    </row>
    <row r="379" spans="1:3">
      <c r="A379" s="16" t="s">
        <v>91</v>
      </c>
      <c r="B379" t="str">
        <f>VLOOKUP(A379,Table1[[#All],[StudentID]:[StudentName]],5,0)</f>
        <v>Michael Brown</v>
      </c>
      <c r="C379">
        <f>VLOOKUP(A379,Table1[[#All],[StudentID]:[Average GPA]],3,0)</f>
        <v>4</v>
      </c>
    </row>
    <row r="380" spans="1:3">
      <c r="A380" s="16" t="s">
        <v>48</v>
      </c>
      <c r="B380" t="str">
        <f>VLOOKUP(A380,Table1[[#All],[StudentID]:[StudentName]],5,0)</f>
        <v>Sara Khan</v>
      </c>
      <c r="C380">
        <f>VLOOKUP(A380,Table1[[#All],[StudentID]:[Average GPA]],3,0)</f>
        <v>4</v>
      </c>
    </row>
    <row r="381" spans="1:3">
      <c r="A381" s="20" t="s">
        <v>48</v>
      </c>
      <c r="B381" t="str">
        <f>VLOOKUP(A381,Table1[[#All],[StudentID]:[StudentName]],5,0)</f>
        <v>Sara Khan</v>
      </c>
      <c r="C381">
        <f>VLOOKUP(A381,Table1[[#All],[StudentID]:[Average GPA]],3,0)</f>
        <v>4</v>
      </c>
    </row>
    <row r="382" spans="1:3">
      <c r="A382" s="20" t="s">
        <v>36</v>
      </c>
      <c r="B382" t="str">
        <f>VLOOKUP(A382,Table1[[#All],[StudentID]:[StudentName]],5,0)</f>
        <v>Sophia Wilson</v>
      </c>
      <c r="C382">
        <f>VLOOKUP(A382,Table1[[#All],[StudentID]:[Average GPA]],3,0)</f>
        <v>4</v>
      </c>
    </row>
    <row r="383" spans="1:3">
      <c r="A383" s="20" t="s">
        <v>109</v>
      </c>
      <c r="B383" t="str">
        <f>VLOOKUP(A383,Table1[[#All],[StudentID]:[StudentName]],5,0)</f>
        <v>Chris Evans</v>
      </c>
      <c r="C383">
        <f>VLOOKUP(A383,Table1[[#All],[StudentID]:[Average GPA]],3,0)</f>
        <v>4</v>
      </c>
    </row>
    <row r="384" spans="1:3">
      <c r="A384" s="16" t="s">
        <v>95</v>
      </c>
      <c r="B384" t="str">
        <f>VLOOKUP(A384,Table1[[#All],[StudentID]:[StudentName]],5,0)</f>
        <v>Sneha Patil</v>
      </c>
      <c r="C384">
        <f>VLOOKUP(A384,Table1[[#All],[StudentID]:[Average GPA]],3,0)</f>
        <v>4</v>
      </c>
    </row>
    <row r="385" spans="1:3">
      <c r="A385" s="20" t="s">
        <v>63</v>
      </c>
      <c r="B385" t="str">
        <f>VLOOKUP(A385,Table1[[#All],[StudentID]:[StudentName]],5,0)</f>
        <v>Amit Kumar</v>
      </c>
      <c r="C385">
        <f>VLOOKUP(A385,Table1[[#All],[StudentID]:[Average GPA]],3,0)</f>
        <v>4</v>
      </c>
    </row>
    <row r="386" spans="1:3">
      <c r="A386" s="16" t="s">
        <v>48</v>
      </c>
      <c r="B386" t="str">
        <f>VLOOKUP(A386,Table1[[#All],[StudentID]:[StudentName]],5,0)</f>
        <v>Sara Khan</v>
      </c>
      <c r="C386">
        <f>VLOOKUP(A386,Table1[[#All],[StudentID]:[Average GPA]],3,0)</f>
        <v>4</v>
      </c>
    </row>
    <row r="387" spans="1:3">
      <c r="A387" s="16" t="s">
        <v>9</v>
      </c>
      <c r="B387" t="str">
        <f>VLOOKUP(A387,Table1[[#All],[StudentID]:[StudentName]],5,0)</f>
        <v>Sneha Patil</v>
      </c>
      <c r="C387">
        <f>VLOOKUP(A387,Table1[[#All],[StudentID]:[Average GPA]],3,0)</f>
        <v>4</v>
      </c>
    </row>
    <row r="388" spans="1:3">
      <c r="A388" s="20" t="s">
        <v>124</v>
      </c>
      <c r="B388" t="str">
        <f>VLOOKUP(A388,Table1[[#All],[StudentID]:[StudentName]],5,0)</f>
        <v>James Clark</v>
      </c>
      <c r="C388">
        <f>VLOOKUP(A388,Table1[[#All],[StudentID]:[Average GPA]],3,0)</f>
        <v>4</v>
      </c>
    </row>
    <row r="389" spans="1:3">
      <c r="A389" s="16" t="s">
        <v>113</v>
      </c>
      <c r="B389" t="str">
        <f>VLOOKUP(A389,Table1[[#All],[StudentID]:[StudentName]],5,0)</f>
        <v>Nisha Gupta</v>
      </c>
      <c r="C389">
        <f>VLOOKUP(A389,Table1[[#All],[StudentID]:[Average GPA]],3,0)</f>
        <v>4</v>
      </c>
    </row>
    <row r="390" spans="1:3">
      <c r="A390" s="20" t="s">
        <v>57</v>
      </c>
      <c r="B390" t="str">
        <f>VLOOKUP(A390,Table1[[#All],[StudentID]:[StudentName]],5,0)</f>
        <v>Daniel Lee</v>
      </c>
      <c r="C390">
        <f>VLOOKUP(A390,Table1[[#All],[StudentID]:[Average GPA]],3,0)</f>
        <v>4</v>
      </c>
    </row>
    <row r="391" spans="1:3">
      <c r="A391" s="16" t="s">
        <v>16</v>
      </c>
      <c r="B391" t="str">
        <f>VLOOKUP(A391,Table1[[#All],[StudentID]:[StudentName]],5,0)</f>
        <v>Emily Davis</v>
      </c>
      <c r="C391">
        <f>VLOOKUP(A391,Table1[[#All],[StudentID]:[Average GPA]],3,0)</f>
        <v>4</v>
      </c>
    </row>
    <row r="392" spans="1:3">
      <c r="A392" s="20" t="s">
        <v>125</v>
      </c>
      <c r="B392" t="str">
        <f>VLOOKUP(A392,Table1[[#All],[StudentID]:[StudentName]],5,0)</f>
        <v>Sophia Wilson</v>
      </c>
      <c r="C392">
        <f>VLOOKUP(A392,Table1[[#All],[StudentID]:[Average GPA]],3,0)</f>
        <v>4</v>
      </c>
    </row>
    <row r="393" spans="1:3">
      <c r="A393" s="16" t="s">
        <v>82</v>
      </c>
      <c r="B393" t="str">
        <f>VLOOKUP(A393,Table1[[#All],[StudentID]:[StudentName]],5,0)</f>
        <v>Priya Verma</v>
      </c>
      <c r="C393">
        <f>VLOOKUP(A393,Table1[[#All],[StudentID]:[Average GPA]],3,0)</f>
        <v>0</v>
      </c>
    </row>
    <row r="394" spans="1:3">
      <c r="A394" s="16" t="s">
        <v>78</v>
      </c>
      <c r="B394" t="str">
        <f>VLOOKUP(A394,Table1[[#All],[StudentID]:[StudentName]],5,0)</f>
        <v>James Clark</v>
      </c>
      <c r="C394">
        <f>VLOOKUP(A394,Table1[[#All],[StudentID]:[Average GPA]],3,0)</f>
        <v>0</v>
      </c>
    </row>
    <row r="395" spans="1:3">
      <c r="A395" s="16" t="s">
        <v>51</v>
      </c>
      <c r="B395" t="str">
        <f>VLOOKUP(A395,Table1[[#All],[StudentID]:[StudentName]],5,0)</f>
        <v>Sara Khan</v>
      </c>
      <c r="C395">
        <f>VLOOKUP(A395,Table1[[#All],[StudentID]:[Average GPA]],3,0)</f>
        <v>0</v>
      </c>
    </row>
    <row r="396" spans="1:3">
      <c r="A396" s="20" t="s">
        <v>61</v>
      </c>
      <c r="B396" t="str">
        <f>VLOOKUP(A396,Table1[[#All],[StudentID]:[StudentName]],5,0)</f>
        <v>Raj Mehta</v>
      </c>
      <c r="C396">
        <f>VLOOKUP(A396,Table1[[#All],[StudentID]:[Average GPA]],3,0)</f>
        <v>0</v>
      </c>
    </row>
    <row r="397" spans="1:3">
      <c r="A397" s="16" t="s">
        <v>56</v>
      </c>
      <c r="B397" t="str">
        <f>VLOOKUP(A397,Table1[[#All],[StudentID]:[StudentName]],5,0)</f>
        <v>Sophia Wilson</v>
      </c>
      <c r="C397">
        <f>VLOOKUP(A397,Table1[[#All],[StudentID]:[Average GPA]],3,0)</f>
        <v>0</v>
      </c>
    </row>
    <row r="398" spans="1:3">
      <c r="A398" s="20" t="s">
        <v>85</v>
      </c>
      <c r="B398" t="str">
        <f>VLOOKUP(A398,Table1[[#All],[StudentID]:[StudentName]],5,0)</f>
        <v>Chris Evans</v>
      </c>
      <c r="C398">
        <f>VLOOKUP(A398,Table1[[#All],[StudentID]:[Average GPA]],3,0)</f>
        <v>0</v>
      </c>
    </row>
    <row r="399" spans="1:3">
      <c r="A399" s="20" t="s">
        <v>56</v>
      </c>
      <c r="B399" t="str">
        <f>VLOOKUP(A399,Table1[[#All],[StudentID]:[StudentName]],5,0)</f>
        <v>Sophia Wilson</v>
      </c>
      <c r="C399">
        <f>VLOOKUP(A399,Table1[[#All],[StudentID]:[Average GPA]],3,0)</f>
        <v>0</v>
      </c>
    </row>
    <row r="400" spans="1:3">
      <c r="A400" s="20" t="s">
        <v>40</v>
      </c>
      <c r="B400" t="str">
        <f>VLOOKUP(A400,Table1[[#All],[StudentID]:[StudentName]],5,0)</f>
        <v>Amit Kumar</v>
      </c>
      <c r="C400">
        <f>VLOOKUP(A400,Table1[[#All],[StudentID]:[Average GPA]],3,0)</f>
        <v>0</v>
      </c>
    </row>
    <row r="401" spans="1:3">
      <c r="A401" s="16" t="s">
        <v>123</v>
      </c>
      <c r="B401" t="str">
        <f>VLOOKUP(A401,Table1[[#All],[StudentID]:[StudentName]],5,0)</f>
        <v>Nisha Gupta</v>
      </c>
      <c r="C401">
        <f>VLOOKUP(A401,Table1[[#All],[StudentID]:[Average GPA]],3,0)</f>
        <v>0</v>
      </c>
    </row>
    <row r="402" spans="1:3">
      <c r="A402" s="16" t="s">
        <v>51</v>
      </c>
      <c r="B402" t="str">
        <f>VLOOKUP(A402,Table1[[#All],[StudentID]:[StudentName]],5,0)</f>
        <v>Sara Khan</v>
      </c>
      <c r="C402">
        <f>VLOOKUP(A402,Table1[[#All],[StudentID]:[Average GPA]],3,0)</f>
        <v>0</v>
      </c>
    </row>
    <row r="403" spans="1:3">
      <c r="A403" s="20" t="s">
        <v>80</v>
      </c>
      <c r="B403" t="str">
        <f>VLOOKUP(A403,Table1[[#All],[StudentID]:[StudentName]],5,0)</f>
        <v>Sneha Patil</v>
      </c>
      <c r="C403">
        <f>VLOOKUP(A403,Table1[[#All],[StudentID]:[Average GPA]],3,0)</f>
        <v>0</v>
      </c>
    </row>
    <row r="404" spans="1:3">
      <c r="A404" s="20" t="s">
        <v>38</v>
      </c>
      <c r="B404" t="str">
        <f>VLOOKUP(A404,Table1[[#All],[StudentID]:[StudentName]],5,0)</f>
        <v>Michael Brown</v>
      </c>
      <c r="C404">
        <f>VLOOKUP(A404,Table1[[#All],[StudentID]:[Average GPA]],3,0)</f>
        <v>0</v>
      </c>
    </row>
    <row r="405" spans="1:3">
      <c r="A405" s="16" t="s">
        <v>77</v>
      </c>
      <c r="B405" t="str">
        <f>VLOOKUP(A405,Table1[[#All],[StudentID]:[StudentName]],5,0)</f>
        <v>Priya Verma</v>
      </c>
      <c r="C405">
        <f>VLOOKUP(A405,Table1[[#All],[StudentID]:[Average GPA]],3,0)</f>
        <v>0</v>
      </c>
    </row>
    <row r="406" spans="1:3">
      <c r="A406" s="16" t="s">
        <v>56</v>
      </c>
      <c r="B406" t="str">
        <f>VLOOKUP(A406,Table1[[#All],[StudentID]:[StudentName]],5,0)</f>
        <v>Sophia Wilson</v>
      </c>
      <c r="C406">
        <f>VLOOKUP(A406,Table1[[#All],[StudentID]:[Average GPA]],3,0)</f>
        <v>0</v>
      </c>
    </row>
    <row r="407" spans="1:3">
      <c r="A407" s="16" t="s">
        <v>77</v>
      </c>
      <c r="B407" t="str">
        <f>VLOOKUP(A407,Table1[[#All],[StudentID]:[StudentName]],5,0)</f>
        <v>Priya Verma</v>
      </c>
      <c r="C407">
        <f>VLOOKUP(A407,Table1[[#All],[StudentID]:[Average GPA]],3,0)</f>
        <v>0</v>
      </c>
    </row>
    <row r="408" spans="1:3">
      <c r="A408" s="20" t="s">
        <v>34</v>
      </c>
      <c r="B408" t="str">
        <f>VLOOKUP(A408,Table1[[#All],[StudentID]:[StudentName]],5,0)</f>
        <v>Sneha Patil</v>
      </c>
      <c r="C408">
        <f>VLOOKUP(A408,Table1[[#All],[StudentID]:[Average GPA]],3,0)</f>
        <v>0</v>
      </c>
    </row>
    <row r="409" spans="1:3">
      <c r="A409" s="20" t="s">
        <v>82</v>
      </c>
      <c r="B409" t="str">
        <f>VLOOKUP(A409,Table1[[#All],[StudentID]:[StudentName]],5,0)</f>
        <v>Priya Verma</v>
      </c>
      <c r="C409">
        <f>VLOOKUP(A409,Table1[[#All],[StudentID]:[Average GPA]],3,0)</f>
        <v>0</v>
      </c>
    </row>
    <row r="410" spans="1:3">
      <c r="A410" s="16" t="s">
        <v>82</v>
      </c>
      <c r="B410" t="str">
        <f>VLOOKUP(A410,Table1[[#All],[StudentID]:[StudentName]],5,0)</f>
        <v>Priya Verma</v>
      </c>
      <c r="C410">
        <f>VLOOKUP(A410,Table1[[#All],[StudentID]:[Average GPA]],3,0)</f>
        <v>0</v>
      </c>
    </row>
    <row r="411" spans="1:3">
      <c r="A411" s="16" t="s">
        <v>82</v>
      </c>
      <c r="B411" t="str">
        <f>VLOOKUP(A411,Table1[[#All],[StudentID]:[StudentName]],5,0)</f>
        <v>Priya Verma</v>
      </c>
      <c r="C411">
        <f>VLOOKUP(A411,Table1[[#All],[StudentID]:[Average GPA]],3,0)</f>
        <v>0</v>
      </c>
    </row>
    <row r="412" spans="1:3">
      <c r="A412" s="20" t="s">
        <v>56</v>
      </c>
      <c r="B412" t="str">
        <f>VLOOKUP(A412,Table1[[#All],[StudentID]:[StudentName]],5,0)</f>
        <v>Sophia Wilson</v>
      </c>
      <c r="C412">
        <f>VLOOKUP(A412,Table1[[#All],[StudentID]:[Average GPA]],3,0)</f>
        <v>0</v>
      </c>
    </row>
    <row r="413" spans="1:3">
      <c r="A413" s="16" t="s">
        <v>56</v>
      </c>
      <c r="B413" t="str">
        <f>VLOOKUP(A413,Table1[[#All],[StudentID]:[StudentName]],5,0)</f>
        <v>Sophia Wilson</v>
      </c>
      <c r="C413">
        <f>VLOOKUP(A413,Table1[[#All],[StudentID]:[Average GPA]],3,0)</f>
        <v>0</v>
      </c>
    </row>
    <row r="414" spans="1:3">
      <c r="A414" s="16" t="s">
        <v>65</v>
      </c>
      <c r="B414" t="str">
        <f>VLOOKUP(A414,Table1[[#All],[StudentID]:[StudentName]],5,0)</f>
        <v>Ankit Sharma</v>
      </c>
      <c r="C414">
        <f>VLOOKUP(A414,Table1[[#All],[StudentID]:[Average GPA]],3,0)</f>
        <v>0</v>
      </c>
    </row>
    <row r="415" spans="1:3">
      <c r="A415" s="16" t="s">
        <v>119</v>
      </c>
      <c r="B415" t="str">
        <f>VLOOKUP(A415,Table1[[#All],[StudentID]:[StudentName]],5,0)</f>
        <v>Emily Davis</v>
      </c>
      <c r="C415">
        <f>VLOOKUP(A415,Table1[[#All],[StudentID]:[Average GPA]],3,0)</f>
        <v>0</v>
      </c>
    </row>
    <row r="416" spans="1:3">
      <c r="A416" s="16" t="s">
        <v>83</v>
      </c>
      <c r="B416" t="str">
        <f>VLOOKUP(A416,Table1[[#All],[StudentID]:[StudentName]],5,0)</f>
        <v>Sara Khan</v>
      </c>
      <c r="C416">
        <f>VLOOKUP(A416,Table1[[#All],[StudentID]:[Average GPA]],3,0)</f>
        <v>0</v>
      </c>
    </row>
    <row r="417" spans="1:3">
      <c r="A417" s="20" t="s">
        <v>64</v>
      </c>
      <c r="B417" t="str">
        <f>VLOOKUP(A417,Table1[[#All],[StudentID]:[StudentName]],5,0)</f>
        <v>James Clark</v>
      </c>
      <c r="C417">
        <f>VLOOKUP(A417,Table1[[#All],[StudentID]:[Average GPA]],3,0)</f>
        <v>0</v>
      </c>
    </row>
    <row r="418" spans="1:3">
      <c r="A418" s="20" t="s">
        <v>81</v>
      </c>
      <c r="B418" t="str">
        <f>VLOOKUP(A418,Table1[[#All],[StudentID]:[StudentName]],5,0)</f>
        <v>Daniel Lee</v>
      </c>
      <c r="C418">
        <f>VLOOKUP(A418,Table1[[#All],[StudentID]:[Average GPA]],3,0)</f>
        <v>0</v>
      </c>
    </row>
    <row r="419" spans="1:3">
      <c r="A419" s="16" t="s">
        <v>59</v>
      </c>
      <c r="B419" t="str">
        <f>VLOOKUP(A419,Table1[[#All],[StudentID]:[StudentName]],5,0)</f>
        <v>Ankit Sharma</v>
      </c>
      <c r="C419">
        <f>VLOOKUP(A419,Table1[[#All],[StudentID]:[Average GPA]],3,0)</f>
        <v>0</v>
      </c>
    </row>
    <row r="420" spans="1:3">
      <c r="A420" s="20" t="s">
        <v>83</v>
      </c>
      <c r="B420" t="str">
        <f>VLOOKUP(A420,Table1[[#All],[StudentID]:[StudentName]],5,0)</f>
        <v>Sara Khan</v>
      </c>
      <c r="C420">
        <f>VLOOKUP(A420,Table1[[#All],[StudentID]:[Average GPA]],3,0)</f>
        <v>0</v>
      </c>
    </row>
    <row r="421" spans="1:3">
      <c r="A421" s="16" t="s">
        <v>82</v>
      </c>
      <c r="B421" t="str">
        <f>VLOOKUP(A421,Table1[[#All],[StudentID]:[StudentName]],5,0)</f>
        <v>Priya Verma</v>
      </c>
      <c r="C421">
        <f>VLOOKUP(A421,Table1[[#All],[StudentID]:[Average GPA]],3,0)</f>
        <v>0</v>
      </c>
    </row>
    <row r="422" spans="1:3">
      <c r="A422" s="20" t="s">
        <v>35</v>
      </c>
      <c r="B422" t="str">
        <f>VLOOKUP(A422,Table1[[#All],[StudentID]:[StudentName]],5,0)</f>
        <v>Daniel Lee</v>
      </c>
      <c r="C422">
        <f>VLOOKUP(A422,Table1[[#All],[StudentID]:[Average GPA]],3,0)</f>
        <v>0</v>
      </c>
    </row>
    <row r="423" spans="1:3">
      <c r="A423" s="20" t="s">
        <v>51</v>
      </c>
      <c r="B423" t="str">
        <f>VLOOKUP(A423,Table1[[#All],[StudentID]:[StudentName]],5,0)</f>
        <v>Sara Khan</v>
      </c>
      <c r="C423">
        <f>VLOOKUP(A423,Table1[[#All],[StudentID]:[Average GPA]],3,0)</f>
        <v>0</v>
      </c>
    </row>
    <row r="424" spans="1:3">
      <c r="A424" s="16" t="s">
        <v>61</v>
      </c>
      <c r="B424" t="str">
        <f>VLOOKUP(A424,Table1[[#All],[StudentID]:[StudentName]],5,0)</f>
        <v>Raj Mehta</v>
      </c>
      <c r="C424">
        <f>VLOOKUP(A424,Table1[[#All],[StudentID]:[Average GPA]],3,0)</f>
        <v>0</v>
      </c>
    </row>
    <row r="425" spans="1:3">
      <c r="A425" s="16" t="s">
        <v>64</v>
      </c>
      <c r="B425" t="str">
        <f>VLOOKUP(A425,Table1[[#All],[StudentID]:[StudentName]],5,0)</f>
        <v>James Clark</v>
      </c>
      <c r="C425">
        <f>VLOOKUP(A425,Table1[[#All],[StudentID]:[Average GPA]],3,0)</f>
        <v>0</v>
      </c>
    </row>
    <row r="426" spans="1:3">
      <c r="A426" s="16" t="s">
        <v>119</v>
      </c>
      <c r="B426" t="str">
        <f>VLOOKUP(A426,Table1[[#All],[StudentID]:[StudentName]],5,0)</f>
        <v>Emily Davis</v>
      </c>
      <c r="C426">
        <f>VLOOKUP(A426,Table1[[#All],[StudentID]:[Average GPA]],3,0)</f>
        <v>0</v>
      </c>
    </row>
    <row r="427" spans="1:3">
      <c r="A427" s="20" t="s">
        <v>42</v>
      </c>
      <c r="B427" t="str">
        <f>VLOOKUP(A427,Table1[[#All],[StudentID]:[StudentName]],5,0)</f>
        <v>Michael Brown</v>
      </c>
      <c r="C427">
        <f>VLOOKUP(A427,Table1[[#All],[StudentID]:[Average GPA]],3,0)</f>
        <v>0</v>
      </c>
    </row>
    <row r="428" spans="1:3">
      <c r="A428" s="20" t="s">
        <v>85</v>
      </c>
      <c r="B428" t="str">
        <f>VLOOKUP(A428,Table1[[#All],[StudentID]:[StudentName]],5,0)</f>
        <v>Chris Evans</v>
      </c>
      <c r="C428">
        <f>VLOOKUP(A428,Table1[[#All],[StudentID]:[Average GPA]],3,0)</f>
        <v>0</v>
      </c>
    </row>
    <row r="429" spans="1:3">
      <c r="A429" s="20" t="s">
        <v>38</v>
      </c>
      <c r="B429" t="str">
        <f>VLOOKUP(A429,Table1[[#All],[StudentID]:[StudentName]],5,0)</f>
        <v>Michael Brown</v>
      </c>
      <c r="C429">
        <f>VLOOKUP(A429,Table1[[#All],[StudentID]:[Average GPA]],3,0)</f>
        <v>0</v>
      </c>
    </row>
    <row r="430" spans="1:3">
      <c r="A430" s="20" t="s">
        <v>107</v>
      </c>
      <c r="B430" t="str">
        <f>VLOOKUP(A430,Table1[[#All],[StudentID]:[StudentName]],5,0)</f>
        <v>James Clark</v>
      </c>
      <c r="C430">
        <f>VLOOKUP(A430,Table1[[#All],[StudentID]:[Average GPA]],3,0)</f>
        <v>0</v>
      </c>
    </row>
    <row r="431" spans="1:3">
      <c r="A431" s="16" t="s">
        <v>94</v>
      </c>
      <c r="B431" t="str">
        <f>VLOOKUP(A431,Table1[[#All],[StudentID]:[StudentName]],5,0)</f>
        <v>Robert Taylor</v>
      </c>
      <c r="C431">
        <f>VLOOKUP(A431,Table1[[#All],[StudentID]:[Average GPA]],3,0)</f>
        <v>0</v>
      </c>
    </row>
    <row r="432" spans="1:3">
      <c r="A432" s="16" t="s">
        <v>83</v>
      </c>
      <c r="B432" t="str">
        <f>VLOOKUP(A432,Table1[[#All],[StudentID]:[StudentName]],5,0)</f>
        <v>Sara Khan</v>
      </c>
      <c r="C432">
        <f>VLOOKUP(A432,Table1[[#All],[StudentID]:[Average GPA]],3,0)</f>
        <v>0</v>
      </c>
    </row>
    <row r="433" spans="1:3">
      <c r="A433" s="20" t="s">
        <v>34</v>
      </c>
      <c r="B433" t="str">
        <f>VLOOKUP(A433,Table1[[#All],[StudentID]:[StudentName]],5,0)</f>
        <v>Sneha Patil</v>
      </c>
      <c r="C433">
        <f>VLOOKUP(A433,Table1[[#All],[StudentID]:[Average GPA]],3,0)</f>
        <v>0</v>
      </c>
    </row>
    <row r="434" spans="1:3">
      <c r="A434" s="20" t="s">
        <v>61</v>
      </c>
      <c r="B434" t="str">
        <f>VLOOKUP(A434,Table1[[#All],[StudentID]:[StudentName]],5,0)</f>
        <v>Raj Mehta</v>
      </c>
      <c r="C434">
        <f>VLOOKUP(A434,Table1[[#All],[StudentID]:[Average GPA]],3,0)</f>
        <v>0</v>
      </c>
    </row>
    <row r="435" spans="1:3">
      <c r="A435" s="16" t="s">
        <v>64</v>
      </c>
      <c r="B435" t="str">
        <f>VLOOKUP(A435,Table1[[#All],[StudentID]:[StudentName]],5,0)</f>
        <v>James Clark</v>
      </c>
      <c r="C435">
        <f>VLOOKUP(A435,Table1[[#All],[StudentID]:[Average GPA]],3,0)</f>
        <v>0</v>
      </c>
    </row>
    <row r="436" spans="1:3">
      <c r="A436" s="20" t="s">
        <v>38</v>
      </c>
      <c r="B436" t="str">
        <f>VLOOKUP(A436,Table1[[#All],[StudentID]:[StudentName]],5,0)</f>
        <v>Michael Brown</v>
      </c>
      <c r="C436">
        <f>VLOOKUP(A436,Table1[[#All],[StudentID]:[Average GPA]],3,0)</f>
        <v>0</v>
      </c>
    </row>
    <row r="437" spans="1:3">
      <c r="A437" s="20" t="s">
        <v>85</v>
      </c>
      <c r="B437" t="str">
        <f>VLOOKUP(A437,Table1[[#All],[StudentID]:[StudentName]],5,0)</f>
        <v>Chris Evans</v>
      </c>
      <c r="C437">
        <f>VLOOKUP(A437,Table1[[#All],[StudentID]:[Average GPA]],3,0)</f>
        <v>0</v>
      </c>
    </row>
    <row r="438" spans="1:3">
      <c r="A438" s="16" t="s">
        <v>40</v>
      </c>
      <c r="B438" t="str">
        <f>VLOOKUP(A438,Table1[[#All],[StudentID]:[StudentName]],5,0)</f>
        <v>Amit Kumar</v>
      </c>
      <c r="C438">
        <f>VLOOKUP(A438,Table1[[#All],[StudentID]:[Average GPA]],3,0)</f>
        <v>0</v>
      </c>
    </row>
    <row r="439" spans="1:3">
      <c r="A439" s="16" t="s">
        <v>80</v>
      </c>
      <c r="B439" t="str">
        <f>VLOOKUP(A439,Table1[[#All],[StudentID]:[StudentName]],5,0)</f>
        <v>Sneha Patil</v>
      </c>
      <c r="C439">
        <f>VLOOKUP(A439,Table1[[#All],[StudentID]:[Average GPA]],3,0)</f>
        <v>0</v>
      </c>
    </row>
    <row r="440" spans="1:3">
      <c r="A440" s="16" t="s">
        <v>83</v>
      </c>
      <c r="B440" t="str">
        <f>VLOOKUP(A440,Table1[[#All],[StudentID]:[StudentName]],5,0)</f>
        <v>Sara Khan</v>
      </c>
      <c r="C440">
        <f>VLOOKUP(A440,Table1[[#All],[StudentID]:[Average GPA]],3,0)</f>
        <v>0</v>
      </c>
    </row>
    <row r="441" spans="1:3">
      <c r="A441" s="16" t="s">
        <v>38</v>
      </c>
      <c r="B441" t="str">
        <f>VLOOKUP(A441,Table1[[#All],[StudentID]:[StudentName]],5,0)</f>
        <v>Michael Brown</v>
      </c>
      <c r="C441">
        <f>VLOOKUP(A441,Table1[[#All],[StudentID]:[Average GPA]],3,0)</f>
        <v>0</v>
      </c>
    </row>
    <row r="442" spans="1:3">
      <c r="A442" s="16" t="s">
        <v>78</v>
      </c>
      <c r="B442" t="str">
        <f>VLOOKUP(A442,Table1[[#All],[StudentID]:[StudentName]],5,0)</f>
        <v>James Clark</v>
      </c>
      <c r="C442">
        <f>VLOOKUP(A442,Table1[[#All],[StudentID]:[Average GPA]],3,0)</f>
        <v>0</v>
      </c>
    </row>
    <row r="443" spans="1:3">
      <c r="A443" s="20" t="s">
        <v>38</v>
      </c>
      <c r="B443" t="str">
        <f>VLOOKUP(A443,Table1[[#All],[StudentID]:[StudentName]],5,0)</f>
        <v>Michael Brown</v>
      </c>
      <c r="C443">
        <f>VLOOKUP(A443,Table1[[#All],[StudentID]:[Average GPA]],3,0)</f>
        <v>0</v>
      </c>
    </row>
    <row r="444" spans="1:3">
      <c r="A444" s="16" t="s">
        <v>74</v>
      </c>
      <c r="B444" t="str">
        <f>VLOOKUP(A444,Table1[[#All],[StudentID]:[StudentName]],5,0)</f>
        <v>Priya Verma</v>
      </c>
      <c r="C444">
        <f>VLOOKUP(A444,Table1[[#All],[StudentID]:[Average GPA]],3,0)</f>
        <v>0</v>
      </c>
    </row>
    <row r="445" spans="1:3">
      <c r="A445" s="20" t="s">
        <v>85</v>
      </c>
      <c r="B445" t="str">
        <f>VLOOKUP(A445,Table1[[#All],[StudentID]:[StudentName]],5,0)</f>
        <v>Chris Evans</v>
      </c>
      <c r="C445">
        <f>VLOOKUP(A445,Table1[[#All],[StudentID]:[Average GPA]],3,0)</f>
        <v>0</v>
      </c>
    </row>
    <row r="446" spans="1:3">
      <c r="A446" s="20" t="s">
        <v>82</v>
      </c>
      <c r="B446" t="str">
        <f>VLOOKUP(A446,Table1[[#All],[StudentID]:[StudentName]],5,0)</f>
        <v>Priya Verma</v>
      </c>
      <c r="C446">
        <f>VLOOKUP(A446,Table1[[#All],[StudentID]:[Average GPA]],3,0)</f>
        <v>0</v>
      </c>
    </row>
    <row r="447" spans="1:3">
      <c r="A447" s="16" t="s">
        <v>65</v>
      </c>
      <c r="B447" t="str">
        <f>VLOOKUP(A447,Table1[[#All],[StudentID]:[StudentName]],5,0)</f>
        <v>Ankit Sharma</v>
      </c>
      <c r="C447">
        <f>VLOOKUP(A447,Table1[[#All],[StudentID]:[Average GPA]],3,0)</f>
        <v>0</v>
      </c>
    </row>
    <row r="448" spans="1:3">
      <c r="A448" s="16" t="s">
        <v>102</v>
      </c>
      <c r="B448" t="str">
        <f>VLOOKUP(A448,Table1[[#All],[StudentID]:[StudentName]],5,0)</f>
        <v>Sneha Patil</v>
      </c>
      <c r="C448">
        <f>VLOOKUP(A448,Table1[[#All],[StudentID]:[Average GPA]],3,0)</f>
        <v>0</v>
      </c>
    </row>
    <row r="449" spans="1:3">
      <c r="A449" s="16" t="s">
        <v>81</v>
      </c>
      <c r="B449" t="str">
        <f>VLOOKUP(A449,Table1[[#All],[StudentID]:[StudentName]],5,0)</f>
        <v>Daniel Lee</v>
      </c>
      <c r="C449">
        <f>VLOOKUP(A449,Table1[[#All],[StudentID]:[Average GPA]],3,0)</f>
        <v>0</v>
      </c>
    </row>
    <row r="450" spans="1:3">
      <c r="A450" s="16" t="s">
        <v>59</v>
      </c>
      <c r="B450" t="str">
        <f>VLOOKUP(A450,Table1[[#All],[StudentID]:[StudentName]],5,0)</f>
        <v>Ankit Sharma</v>
      </c>
      <c r="C450">
        <f>VLOOKUP(A450,Table1[[#All],[StudentID]:[Average GPA]],3,0)</f>
        <v>0</v>
      </c>
    </row>
    <row r="451" spans="1:3">
      <c r="A451" s="16" t="s">
        <v>80</v>
      </c>
      <c r="B451" t="str">
        <f>VLOOKUP(A451,Table1[[#All],[StudentID]:[StudentName]],5,0)</f>
        <v>Sneha Patil</v>
      </c>
      <c r="C451">
        <f>VLOOKUP(A451,Table1[[#All],[StudentID]:[Average GPA]],3,0)</f>
        <v>0</v>
      </c>
    </row>
    <row r="452" spans="1:3">
      <c r="A452" s="20" t="s">
        <v>80</v>
      </c>
      <c r="B452" t="str">
        <f>VLOOKUP(A452,Table1[[#All],[StudentID]:[StudentName]],5,0)</f>
        <v>Sneha Patil</v>
      </c>
      <c r="C452">
        <f>VLOOKUP(A452,Table1[[#All],[StudentID]:[Average GPA]],3,0)</f>
        <v>0</v>
      </c>
    </row>
    <row r="453" spans="1:3">
      <c r="A453" s="20" t="s">
        <v>74</v>
      </c>
      <c r="B453" t="str">
        <f>VLOOKUP(A453,Table1[[#All],[StudentID]:[StudentName]],5,0)</f>
        <v>Priya Verma</v>
      </c>
      <c r="C453">
        <f>VLOOKUP(A453,Table1[[#All],[StudentID]:[Average GPA]],3,0)</f>
        <v>0</v>
      </c>
    </row>
    <row r="454" spans="1:3">
      <c r="A454" s="16" t="s">
        <v>78</v>
      </c>
      <c r="B454" t="str">
        <f>VLOOKUP(A454,Table1[[#All],[StudentID]:[StudentName]],5,0)</f>
        <v>James Clark</v>
      </c>
      <c r="C454">
        <f>VLOOKUP(A454,Table1[[#All],[StudentID]:[Average GPA]],3,0)</f>
        <v>0</v>
      </c>
    </row>
    <row r="455" spans="1:3">
      <c r="A455" s="16" t="s">
        <v>82</v>
      </c>
      <c r="B455" t="str">
        <f>VLOOKUP(A455,Table1[[#All],[StudentID]:[StudentName]],5,0)</f>
        <v>Priya Verma</v>
      </c>
      <c r="C455">
        <f>VLOOKUP(A455,Table1[[#All],[StudentID]:[Average GPA]],3,0)</f>
        <v>0</v>
      </c>
    </row>
    <row r="456" spans="1:3">
      <c r="A456" s="20" t="s">
        <v>102</v>
      </c>
      <c r="B456" t="str">
        <f>VLOOKUP(A456,Table1[[#All],[StudentID]:[StudentName]],5,0)</f>
        <v>Sneha Patil</v>
      </c>
      <c r="C456">
        <f>VLOOKUP(A456,Table1[[#All],[StudentID]:[Average GPA]],3,0)</f>
        <v>0</v>
      </c>
    </row>
    <row r="457" spans="1:3">
      <c r="A457" s="16" t="s">
        <v>77</v>
      </c>
      <c r="B457" t="str">
        <f>VLOOKUP(A457,Table1[[#All],[StudentID]:[StudentName]],5,0)</f>
        <v>Priya Verma</v>
      </c>
      <c r="C457">
        <f>VLOOKUP(A457,Table1[[#All],[StudentID]:[Average GPA]],3,0)</f>
        <v>0</v>
      </c>
    </row>
    <row r="458" spans="1:3">
      <c r="A458" s="16" t="s">
        <v>94</v>
      </c>
      <c r="B458" t="str">
        <f>VLOOKUP(A458,Table1[[#All],[StudentID]:[StudentName]],5,0)</f>
        <v>Robert Taylor</v>
      </c>
      <c r="C458">
        <f>VLOOKUP(A458,Table1[[#All],[StudentID]:[Average GPA]],3,0)</f>
        <v>0</v>
      </c>
    </row>
    <row r="459" spans="1:3">
      <c r="A459" s="16" t="s">
        <v>107</v>
      </c>
      <c r="B459" t="str">
        <f>VLOOKUP(A459,Table1[[#All],[StudentID]:[StudentName]],5,0)</f>
        <v>James Clark</v>
      </c>
      <c r="C459">
        <f>VLOOKUP(A459,Table1[[#All],[StudentID]:[Average GPA]],3,0)</f>
        <v>0</v>
      </c>
    </row>
    <row r="460" spans="1:3">
      <c r="A460" s="20" t="s">
        <v>61</v>
      </c>
      <c r="B460" t="str">
        <f>VLOOKUP(A460,Table1[[#All],[StudentID]:[StudentName]],5,0)</f>
        <v>Raj Mehta</v>
      </c>
      <c r="C460">
        <f>VLOOKUP(A460,Table1[[#All],[StudentID]:[Average GPA]],3,0)</f>
        <v>0</v>
      </c>
    </row>
    <row r="461" spans="1:3">
      <c r="A461" s="16" t="s">
        <v>94</v>
      </c>
      <c r="B461" t="str">
        <f>VLOOKUP(A461,Table1[[#All],[StudentID]:[StudentName]],5,0)</f>
        <v>Robert Taylor</v>
      </c>
      <c r="C461">
        <f>VLOOKUP(A461,Table1[[#All],[StudentID]:[Average GPA]],3,0)</f>
        <v>0</v>
      </c>
    </row>
    <row r="462" spans="1:3">
      <c r="A462" s="20" t="s">
        <v>107</v>
      </c>
      <c r="B462" t="str">
        <f>VLOOKUP(A462,Table1[[#All],[StudentID]:[StudentName]],5,0)</f>
        <v>James Clark</v>
      </c>
      <c r="C462">
        <f>VLOOKUP(A462,Table1[[#All],[StudentID]:[Average GPA]],3,0)</f>
        <v>0</v>
      </c>
    </row>
    <row r="463" spans="1:3">
      <c r="A463" s="20" t="s">
        <v>64</v>
      </c>
      <c r="B463" t="str">
        <f>VLOOKUP(A463,Table1[[#All],[StudentID]:[StudentName]],5,0)</f>
        <v>James Clark</v>
      </c>
      <c r="C463">
        <f>VLOOKUP(A463,Table1[[#All],[StudentID]:[Average GPA]],3,0)</f>
        <v>0</v>
      </c>
    </row>
    <row r="464" spans="1:3">
      <c r="A464" s="16" t="s">
        <v>64</v>
      </c>
      <c r="B464" t="str">
        <f>VLOOKUP(A464,Table1[[#All],[StudentID]:[StudentName]],5,0)</f>
        <v>James Clark</v>
      </c>
      <c r="C464">
        <f>VLOOKUP(A464,Table1[[#All],[StudentID]:[Average GPA]],3,0)</f>
        <v>0</v>
      </c>
    </row>
    <row r="465" spans="1:3">
      <c r="A465" s="20" t="s">
        <v>38</v>
      </c>
      <c r="B465" t="str">
        <f>VLOOKUP(A465,Table1[[#All],[StudentID]:[StudentName]],5,0)</f>
        <v>Michael Brown</v>
      </c>
      <c r="C465">
        <f>VLOOKUP(A465,Table1[[#All],[StudentID]:[Average GPA]],3,0)</f>
        <v>0</v>
      </c>
    </row>
    <row r="466" spans="1:3">
      <c r="A466" s="20" t="s">
        <v>64</v>
      </c>
      <c r="B466" t="str">
        <f>VLOOKUP(A466,Table1[[#All],[StudentID]:[StudentName]],5,0)</f>
        <v>James Clark</v>
      </c>
      <c r="C466">
        <f>VLOOKUP(A466,Table1[[#All],[StudentID]:[Average GPA]],3,0)</f>
        <v>0</v>
      </c>
    </row>
    <row r="467" spans="1:3">
      <c r="A467" s="20" t="s">
        <v>40</v>
      </c>
      <c r="B467" t="str">
        <f>VLOOKUP(A467,Table1[[#All],[StudentID]:[StudentName]],5,0)</f>
        <v>Amit Kumar</v>
      </c>
      <c r="C467">
        <f>VLOOKUP(A467,Table1[[#All],[StudentID]:[Average GPA]],3,0)</f>
        <v>0</v>
      </c>
    </row>
    <row r="468" spans="1:3">
      <c r="A468" s="20" t="s">
        <v>83</v>
      </c>
      <c r="B468" t="str">
        <f>VLOOKUP(A468,Table1[[#All],[StudentID]:[StudentName]],5,0)</f>
        <v>Sara Khan</v>
      </c>
      <c r="C468">
        <f>VLOOKUP(A468,Table1[[#All],[StudentID]:[Average GPA]],3,0)</f>
        <v>0</v>
      </c>
    </row>
    <row r="469" spans="1:3">
      <c r="A469" s="20" t="s">
        <v>43</v>
      </c>
      <c r="B469" t="str">
        <f>VLOOKUP(A469,Table1[[#All],[StudentID]:[StudentName]],5,0)</f>
        <v>Sneha Patil</v>
      </c>
      <c r="C469">
        <f>VLOOKUP(A469,Table1[[#All],[StudentID]:[Average GPA]],3,0)</f>
        <v>0</v>
      </c>
    </row>
    <row r="470" spans="1:3">
      <c r="A470" s="16" t="s">
        <v>61</v>
      </c>
      <c r="B470" t="str">
        <f>VLOOKUP(A470,Table1[[#All],[StudentID]:[StudentName]],5,0)</f>
        <v>Raj Mehta</v>
      </c>
      <c r="C470">
        <f>VLOOKUP(A470,Table1[[#All],[StudentID]:[Average GPA]],3,0)</f>
        <v>0</v>
      </c>
    </row>
    <row r="471" spans="1:3">
      <c r="A471" s="16" t="s">
        <v>65</v>
      </c>
      <c r="B471" t="str">
        <f>VLOOKUP(A471,Table1[[#All],[StudentID]:[StudentName]],5,0)</f>
        <v>Ankit Sharma</v>
      </c>
      <c r="C471">
        <f>VLOOKUP(A471,Table1[[#All],[StudentID]:[Average GPA]],3,0)</f>
        <v>0</v>
      </c>
    </row>
    <row r="472" spans="1:3">
      <c r="A472" s="20" t="s">
        <v>40</v>
      </c>
      <c r="B472" t="str">
        <f>VLOOKUP(A472,Table1[[#All],[StudentID]:[StudentName]],5,0)</f>
        <v>Amit Kumar</v>
      </c>
      <c r="C472">
        <f>VLOOKUP(A472,Table1[[#All],[StudentID]:[Average GPA]],3,0)</f>
        <v>0</v>
      </c>
    </row>
    <row r="473" spans="1:3">
      <c r="A473" s="20" t="s">
        <v>35</v>
      </c>
      <c r="B473" t="str">
        <f>VLOOKUP(A473,Table1[[#All],[StudentID]:[StudentName]],5,0)</f>
        <v>Daniel Lee</v>
      </c>
      <c r="C473">
        <f>VLOOKUP(A473,Table1[[#All],[StudentID]:[Average GPA]],3,0)</f>
        <v>0</v>
      </c>
    </row>
    <row r="474" spans="1:3">
      <c r="A474" s="16" t="s">
        <v>35</v>
      </c>
      <c r="B474" t="str">
        <f>VLOOKUP(A474,Table1[[#All],[StudentID]:[StudentName]],5,0)</f>
        <v>Daniel Lee</v>
      </c>
      <c r="C474">
        <f>VLOOKUP(A474,Table1[[#All],[StudentID]:[Average GPA]],3,0)</f>
        <v>0</v>
      </c>
    </row>
    <row r="475" spans="1:3">
      <c r="A475" s="20" t="s">
        <v>107</v>
      </c>
      <c r="B475" t="str">
        <f>VLOOKUP(A475,Table1[[#All],[StudentID]:[StudentName]],5,0)</f>
        <v>James Clark</v>
      </c>
      <c r="C475">
        <f>VLOOKUP(A475,Table1[[#All],[StudentID]:[Average GPA]],3,0)</f>
        <v>0</v>
      </c>
    </row>
    <row r="476" spans="1:3">
      <c r="A476" s="20" t="s">
        <v>94</v>
      </c>
      <c r="B476" t="str">
        <f>VLOOKUP(A476,Table1[[#All],[StudentID]:[StudentName]],5,0)</f>
        <v>Robert Taylor</v>
      </c>
      <c r="C476">
        <f>VLOOKUP(A476,Table1[[#All],[StudentID]:[Average GPA]],3,0)</f>
        <v>0</v>
      </c>
    </row>
    <row r="477" spans="1:3">
      <c r="A477" s="16" t="s">
        <v>107</v>
      </c>
      <c r="B477" t="str">
        <f>VLOOKUP(A477,Table1[[#All],[StudentID]:[StudentName]],5,0)</f>
        <v>James Clark</v>
      </c>
      <c r="C477">
        <f>VLOOKUP(A477,Table1[[#All],[StudentID]:[Average GPA]],3,0)</f>
        <v>0</v>
      </c>
    </row>
    <row r="478" spans="1:3">
      <c r="A478" s="20" t="s">
        <v>65</v>
      </c>
      <c r="B478" t="str">
        <f>VLOOKUP(A478,Table1[[#All],[StudentID]:[StudentName]],5,0)</f>
        <v>Ankit Sharma</v>
      </c>
      <c r="C478">
        <f>VLOOKUP(A478,Table1[[#All],[StudentID]:[Average GPA]],3,0)</f>
        <v>0</v>
      </c>
    </row>
    <row r="479" spans="1:3">
      <c r="A479" s="20" t="s">
        <v>123</v>
      </c>
      <c r="B479" t="str">
        <f>VLOOKUP(A479,Table1[[#All],[StudentID]:[StudentName]],5,0)</f>
        <v>Nisha Gupta</v>
      </c>
      <c r="C479">
        <f>VLOOKUP(A479,Table1[[#All],[StudentID]:[Average GPA]],3,0)</f>
        <v>0</v>
      </c>
    </row>
    <row r="480" spans="1:3">
      <c r="A480" s="16" t="s">
        <v>38</v>
      </c>
      <c r="B480" t="str">
        <f>VLOOKUP(A480,Table1[[#All],[StudentID]:[StudentName]],5,0)</f>
        <v>Michael Brown</v>
      </c>
      <c r="C480">
        <f>VLOOKUP(A480,Table1[[#All],[StudentID]:[Average GPA]],3,0)</f>
        <v>0</v>
      </c>
    </row>
    <row r="481" spans="1:3">
      <c r="A481" s="16" t="s">
        <v>94</v>
      </c>
      <c r="B481" t="str">
        <f>VLOOKUP(A481,Table1[[#All],[StudentID]:[StudentName]],5,0)</f>
        <v>Robert Taylor</v>
      </c>
      <c r="C481">
        <f>VLOOKUP(A481,Table1[[#All],[StudentID]:[Average GPA]],3,0)</f>
        <v>0</v>
      </c>
    </row>
    <row r="482" spans="1:3">
      <c r="A482" s="16" t="s">
        <v>40</v>
      </c>
      <c r="B482" t="str">
        <f>VLOOKUP(A482,Table1[[#All],[StudentID]:[StudentName]],5,0)</f>
        <v>Amit Kumar</v>
      </c>
      <c r="C482">
        <f>VLOOKUP(A482,Table1[[#All],[StudentID]:[Average GPA]],3,0)</f>
        <v>0</v>
      </c>
    </row>
    <row r="483" spans="1:3">
      <c r="A483" s="20" t="s">
        <v>40</v>
      </c>
      <c r="B483" t="str">
        <f>VLOOKUP(A483,Table1[[#All],[StudentID]:[StudentName]],5,0)</f>
        <v>Amit Kumar</v>
      </c>
      <c r="C483">
        <f>VLOOKUP(A483,Table1[[#All],[StudentID]:[Average GPA]],3,0)</f>
        <v>0</v>
      </c>
    </row>
    <row r="484" spans="1:3">
      <c r="A484" s="20" t="s">
        <v>94</v>
      </c>
      <c r="B484" t="str">
        <f>VLOOKUP(A484,Table1[[#All],[StudentID]:[StudentName]],5,0)</f>
        <v>Robert Taylor</v>
      </c>
      <c r="C484">
        <f>VLOOKUP(A484,Table1[[#All],[StudentID]:[Average GPA]],3,0)</f>
        <v>0</v>
      </c>
    </row>
    <row r="485" spans="1:3">
      <c r="A485" s="16" t="s">
        <v>38</v>
      </c>
      <c r="B485" t="str">
        <f>VLOOKUP(A485,Table1[[#All],[StudentID]:[StudentName]],5,0)</f>
        <v>Michael Brown</v>
      </c>
      <c r="C485">
        <f>VLOOKUP(A485,Table1[[#All],[StudentID]:[Average GPA]],3,0)</f>
        <v>0</v>
      </c>
    </row>
    <row r="486" spans="1:3">
      <c r="A486" s="16" t="s">
        <v>38</v>
      </c>
      <c r="B486" t="str">
        <f>VLOOKUP(A486,Table1[[#All],[StudentID]:[StudentName]],5,0)</f>
        <v>Michael Brown</v>
      </c>
      <c r="C486">
        <f>VLOOKUP(A486,Table1[[#All],[StudentID]:[Average GPA]],3,0)</f>
        <v>0</v>
      </c>
    </row>
    <row r="487" spans="1:3">
      <c r="A487" s="16" t="s">
        <v>85</v>
      </c>
      <c r="B487" t="str">
        <f>VLOOKUP(A487,Table1[[#All],[StudentID]:[StudentName]],5,0)</f>
        <v>Chris Evans</v>
      </c>
      <c r="C487">
        <f>VLOOKUP(A487,Table1[[#All],[StudentID]:[Average GPA]],3,0)</f>
        <v>0</v>
      </c>
    </row>
    <row r="488" spans="1:3">
      <c r="A488" s="20" t="s">
        <v>83</v>
      </c>
      <c r="B488" t="str">
        <f>VLOOKUP(A488,Table1[[#All],[StudentID]:[StudentName]],5,0)</f>
        <v>Sara Khan</v>
      </c>
      <c r="C488">
        <f>VLOOKUP(A488,Table1[[#All],[StudentID]:[Average GPA]],3,0)</f>
        <v>0</v>
      </c>
    </row>
    <row r="489" spans="1:3">
      <c r="A489" s="16" t="s">
        <v>51</v>
      </c>
      <c r="B489" t="str">
        <f>VLOOKUP(A489,Table1[[#All],[StudentID]:[StudentName]],5,0)</f>
        <v>Sara Khan</v>
      </c>
      <c r="C489">
        <f>VLOOKUP(A489,Table1[[#All],[StudentID]:[Average GPA]],3,0)</f>
        <v>0</v>
      </c>
    </row>
    <row r="490" spans="1:3">
      <c r="A490" s="20" t="s">
        <v>65</v>
      </c>
      <c r="B490" t="str">
        <f>VLOOKUP(A490,Table1[[#All],[StudentID]:[StudentName]],5,0)</f>
        <v>Ankit Sharma</v>
      </c>
      <c r="C490">
        <f>VLOOKUP(A490,Table1[[#All],[StudentID]:[Average GPA]],3,0)</f>
        <v>0</v>
      </c>
    </row>
    <row r="491" spans="1:3">
      <c r="A491" s="16" t="s">
        <v>38</v>
      </c>
      <c r="B491" t="str">
        <f>VLOOKUP(A491,Table1[[#All],[StudentID]:[StudentName]],5,0)</f>
        <v>Michael Brown</v>
      </c>
      <c r="C491">
        <f>VLOOKUP(A491,Table1[[#All],[StudentID]:[Average GPA]],3,0)</f>
        <v>0</v>
      </c>
    </row>
    <row r="492" spans="1:3">
      <c r="A492" s="20" t="s">
        <v>65</v>
      </c>
      <c r="B492" t="str">
        <f>VLOOKUP(A492,Table1[[#All],[StudentID]:[StudentName]],5,0)</f>
        <v>Ankit Sharma</v>
      </c>
      <c r="C492">
        <f>VLOOKUP(A492,Table1[[#All],[StudentID]:[Average GPA]],3,0)</f>
        <v>0</v>
      </c>
    </row>
    <row r="493" spans="1:3">
      <c r="A493" s="16" t="s">
        <v>59</v>
      </c>
      <c r="B493" t="str">
        <f>VLOOKUP(A493,Table1[[#All],[StudentID]:[StudentName]],5,0)</f>
        <v>Ankit Sharma</v>
      </c>
      <c r="C493">
        <f>VLOOKUP(A493,Table1[[#All],[StudentID]:[Average GPA]],3,0)</f>
        <v>0</v>
      </c>
    </row>
    <row r="494" spans="1:3">
      <c r="A494" s="16" t="s">
        <v>34</v>
      </c>
      <c r="B494" t="str">
        <f>VLOOKUP(A494,Table1[[#All],[StudentID]:[StudentName]],5,0)</f>
        <v>Sneha Patil</v>
      </c>
      <c r="C494">
        <f>VLOOKUP(A494,Table1[[#All],[StudentID]:[Average GPA]],3,0)</f>
        <v>0</v>
      </c>
    </row>
    <row r="495" spans="1:3">
      <c r="A495" s="20" t="s">
        <v>80</v>
      </c>
      <c r="B495" t="str">
        <f>VLOOKUP(A495,Table1[[#All],[StudentID]:[StudentName]],5,0)</f>
        <v>Sneha Patil</v>
      </c>
      <c r="C495">
        <f>VLOOKUP(A495,Table1[[#All],[StudentID]:[Average GPA]],3,0)</f>
        <v>0</v>
      </c>
    </row>
    <row r="496" spans="1:3">
      <c r="A496" s="20" t="s">
        <v>119</v>
      </c>
      <c r="B496" t="str">
        <f>VLOOKUP(A496,Table1[[#All],[StudentID]:[StudentName]],5,0)</f>
        <v>Emily Davis</v>
      </c>
      <c r="C496">
        <f>VLOOKUP(A496,Table1[[#All],[StudentID]:[Average GPA]],3,0)</f>
        <v>0</v>
      </c>
    </row>
    <row r="497" spans="1:3">
      <c r="A497" s="20" t="s">
        <v>80</v>
      </c>
      <c r="B497" t="str">
        <f>VLOOKUP(A497,Table1[[#All],[StudentID]:[StudentName]],5,0)</f>
        <v>Sneha Patil</v>
      </c>
      <c r="C497">
        <f>VLOOKUP(A497,Table1[[#All],[StudentID]:[Average GPA]],3,0)</f>
        <v>0</v>
      </c>
    </row>
    <row r="498" spans="1:3">
      <c r="A498" s="20" t="s">
        <v>65</v>
      </c>
      <c r="B498" t="str">
        <f>VLOOKUP(A498,Table1[[#All],[StudentID]:[StudentName]],5,0)</f>
        <v>Ankit Sharma</v>
      </c>
      <c r="C498">
        <f>VLOOKUP(A498,Table1[[#All],[StudentID]:[Average GPA]],3,0)</f>
        <v>0</v>
      </c>
    </row>
    <row r="499" spans="1:3">
      <c r="A499" s="16" t="s">
        <v>77</v>
      </c>
      <c r="B499" t="str">
        <f>VLOOKUP(A499,Table1[[#All],[StudentID]:[StudentName]],5,0)</f>
        <v>Priya Verma</v>
      </c>
      <c r="C499">
        <f>VLOOKUP(A499,Table1[[#All],[StudentID]:[Average GPA]],3,0)</f>
        <v>0</v>
      </c>
    </row>
    <row r="500" spans="1:3">
      <c r="A500" s="16" t="s">
        <v>83</v>
      </c>
      <c r="B500" t="str">
        <f>VLOOKUP(A500,Table1[[#All],[StudentID]:[StudentName]],5,0)</f>
        <v>Sara Khan</v>
      </c>
      <c r="C500">
        <f>VLOOKUP(A500,Table1[[#All],[StudentID]:[Average GPA]],3,0)</f>
        <v>0</v>
      </c>
    </row>
    <row r="501" spans="1:3">
      <c r="A501" s="16" t="s">
        <v>40</v>
      </c>
      <c r="B501" t="str">
        <f>VLOOKUP(A501,Table1[[#All],[StudentID]:[StudentName]],5,0)</f>
        <v>Amit Kumar</v>
      </c>
      <c r="C501">
        <f>VLOOKUP(A501,Table1[[#All],[StudentID]:[Average GPA]],3,0)</f>
        <v>0</v>
      </c>
    </row>
    <row r="502" spans="1:3">
      <c r="A502" s="20" t="s">
        <v>56</v>
      </c>
      <c r="B502" t="str">
        <f>VLOOKUP(A502,Table1[[#All],[StudentID]:[StudentName]],5,0)</f>
        <v>Sophia Wilson</v>
      </c>
      <c r="C502">
        <f>VLOOKUP(A502,Table1[[#All],[StudentID]:[Average GPA]],3,0)</f>
        <v>0</v>
      </c>
    </row>
    <row r="503" spans="1:3">
      <c r="A503" s="16" t="s">
        <v>123</v>
      </c>
      <c r="B503" t="str">
        <f>VLOOKUP(A503,Table1[[#All],[StudentID]:[StudentName]],5,0)</f>
        <v>Nisha Gupta</v>
      </c>
      <c r="C503">
        <f>VLOOKUP(A503,Table1[[#All],[StudentID]:[Average GPA]],3,0)</f>
        <v>0</v>
      </c>
    </row>
    <row r="504" spans="1:3">
      <c r="A504" s="20" t="s">
        <v>40</v>
      </c>
      <c r="B504" t="str">
        <f>VLOOKUP(A504,Table1[[#All],[StudentID]:[StudentName]],5,0)</f>
        <v>Amit Kumar</v>
      </c>
      <c r="C504">
        <f>VLOOKUP(A504,Table1[[#All],[StudentID]:[Average GPA]],3,0)</f>
        <v>0</v>
      </c>
    </row>
    <row r="505" spans="1:3">
      <c r="A505" s="16" t="s">
        <v>123</v>
      </c>
      <c r="B505" t="str">
        <f>VLOOKUP(A505,Table1[[#All],[StudentID]:[StudentName]],5,0)</f>
        <v>Nisha Gupta</v>
      </c>
      <c r="C505">
        <f>VLOOKUP(A505,Table1[[#All],[StudentID]:[Average GPA]],3,0)</f>
        <v>0</v>
      </c>
    </row>
    <row r="506" spans="1:3">
      <c r="A506" s="16" t="s">
        <v>43</v>
      </c>
      <c r="B506" t="str">
        <f>VLOOKUP(A506,Table1[[#All],[StudentID]:[StudentName]],5,0)</f>
        <v>Sneha Patil</v>
      </c>
      <c r="C506">
        <f>VLOOKUP(A506,Table1[[#All],[StudentID]:[Average GPA]],3,0)</f>
        <v>0</v>
      </c>
    </row>
    <row r="507" spans="1:3">
      <c r="A507" s="16" t="s">
        <v>80</v>
      </c>
      <c r="B507" t="str">
        <f>VLOOKUP(A507,Table1[[#All],[StudentID]:[StudentName]],5,0)</f>
        <v>Sneha Patil</v>
      </c>
      <c r="C507">
        <f>VLOOKUP(A507,Table1[[#All],[StudentID]:[Average GPA]],3,0)</f>
        <v>0</v>
      </c>
    </row>
    <row r="508" spans="1:3">
      <c r="A508" s="16" t="s">
        <v>94</v>
      </c>
      <c r="B508" t="str">
        <f>VLOOKUP(A508,Table1[[#All],[StudentID]:[StudentName]],5,0)</f>
        <v>Robert Taylor</v>
      </c>
      <c r="C508">
        <f>VLOOKUP(A508,Table1[[#All],[StudentID]:[Average GPA]],3,0)</f>
        <v>0</v>
      </c>
    </row>
    <row r="509" spans="1:3">
      <c r="A509" s="16" t="s">
        <v>35</v>
      </c>
      <c r="B509" t="str">
        <f>VLOOKUP(A509,Table1[[#All],[StudentID]:[StudentName]],5,0)</f>
        <v>Daniel Lee</v>
      </c>
      <c r="C509">
        <f>VLOOKUP(A509,Table1[[#All],[StudentID]:[Average GPA]],3,0)</f>
        <v>0</v>
      </c>
    </row>
    <row r="510" spans="1:3">
      <c r="A510" s="16" t="s">
        <v>85</v>
      </c>
      <c r="B510" t="str">
        <f>VLOOKUP(A510,Table1[[#All],[StudentID]:[StudentName]],5,0)</f>
        <v>Chris Evans</v>
      </c>
      <c r="C510">
        <f>VLOOKUP(A510,Table1[[#All],[StudentID]:[Average GPA]],3,0)</f>
        <v>0</v>
      </c>
    </row>
    <row r="511" spans="1:3">
      <c r="A511" s="21" t="s">
        <v>85</v>
      </c>
      <c r="B511" t="str">
        <f>VLOOKUP(A511,Table1[[#All],[StudentID]:[StudentName]],5,0)</f>
        <v>Chris Evans</v>
      </c>
      <c r="C511">
        <f>VLOOKUP(A511,Table1[[#All],[StudentID]:[Average GPA]],3,0)</f>
        <v>0</v>
      </c>
    </row>
  </sheetData>
  <conditionalFormatting sqref="B12:B511">
    <cfRule type="expression" dxfId="2" priority="1">
      <formula>VALUE($C$12=10)</formula>
    </cfRule>
    <cfRule type="expression" dxfId="1" priority="4">
      <formula>OR(VALUE($C12)=0,VALUE($C12)=4)</formula>
    </cfRule>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6"/>
  <sheetViews>
    <sheetView workbookViewId="0">
      <selection activeCell="A15" sqref="A15:B26"/>
    </sheetView>
  </sheetViews>
  <sheetFormatPr defaultColWidth="8.88671875" defaultRowHeight="14.4"/>
  <cols>
    <col min="1" max="1" width="15.88671875" bestFit="1" customWidth="1"/>
    <col min="2" max="2" width="20" bestFit="1" customWidth="1"/>
    <col min="3" max="3" width="21.77734375" bestFit="1" customWidth="1"/>
    <col min="5" max="5" width="30.44140625" customWidth="1"/>
  </cols>
  <sheetData>
    <row r="1" spans="1:6" ht="18">
      <c r="A1" s="1" t="s">
        <v>156</v>
      </c>
    </row>
    <row r="3" spans="1:6">
      <c r="A3" t="s">
        <v>157</v>
      </c>
    </row>
    <row r="4" spans="1:6">
      <c r="A4" s="2"/>
    </row>
    <row r="5" spans="1:6">
      <c r="A5" s="2" t="s">
        <v>158</v>
      </c>
    </row>
    <row r="6" spans="1:6">
      <c r="A6" s="2"/>
    </row>
    <row r="7" spans="1:6">
      <c r="A7" s="2" t="s">
        <v>159</v>
      </c>
    </row>
    <row r="8" spans="1:6">
      <c r="A8" s="2"/>
    </row>
    <row r="9" spans="1:6">
      <c r="A9" s="2" t="s">
        <v>160</v>
      </c>
    </row>
    <row r="15" spans="1:6">
      <c r="A15" s="25" t="s">
        <v>128</v>
      </c>
      <c r="B15" t="s">
        <v>711</v>
      </c>
      <c r="C15" t="s">
        <v>712</v>
      </c>
      <c r="E15" s="4" t="s">
        <v>713</v>
      </c>
      <c r="F15" s="4" t="s">
        <v>147</v>
      </c>
    </row>
    <row r="16" spans="1:6">
      <c r="A16" t="s">
        <v>147</v>
      </c>
      <c r="B16">
        <v>63</v>
      </c>
      <c r="C16">
        <v>4.8253968253968251</v>
      </c>
    </row>
    <row r="17" spans="1:6">
      <c r="A17" t="s">
        <v>145</v>
      </c>
      <c r="B17">
        <v>56</v>
      </c>
      <c r="C17">
        <v>5.9642857142857144</v>
      </c>
      <c r="E17" s="4" t="s">
        <v>714</v>
      </c>
      <c r="F17" s="4" t="s">
        <v>715</v>
      </c>
    </row>
    <row r="18" spans="1:6">
      <c r="A18" t="s">
        <v>143</v>
      </c>
      <c r="B18">
        <v>55</v>
      </c>
      <c r="C18">
        <v>5.6363636363636367</v>
      </c>
    </row>
    <row r="19" spans="1:6">
      <c r="A19" t="s">
        <v>141</v>
      </c>
      <c r="B19">
        <v>54</v>
      </c>
      <c r="C19">
        <v>5.7407407407407405</v>
      </c>
      <c r="E19" s="4" t="s">
        <v>716</v>
      </c>
      <c r="F19" s="4" t="s">
        <v>715</v>
      </c>
    </row>
    <row r="20" spans="1:6">
      <c r="A20" t="s">
        <v>139</v>
      </c>
      <c r="B20">
        <v>52</v>
      </c>
      <c r="C20">
        <v>5.115384615384615</v>
      </c>
      <c r="E20" s="4" t="s">
        <v>717</v>
      </c>
      <c r="F20" s="4" t="s">
        <v>147</v>
      </c>
    </row>
    <row r="21" spans="1:6">
      <c r="A21" t="s">
        <v>137</v>
      </c>
      <c r="B21">
        <v>47</v>
      </c>
      <c r="C21">
        <v>5.1063829787234045</v>
      </c>
    </row>
    <row r="22" spans="1:6">
      <c r="A22" t="s">
        <v>135</v>
      </c>
      <c r="B22">
        <v>46</v>
      </c>
      <c r="C22">
        <v>5.9565217391304346</v>
      </c>
    </row>
    <row r="23" spans="1:6">
      <c r="A23" t="s">
        <v>149</v>
      </c>
      <c r="B23">
        <v>43</v>
      </c>
      <c r="C23">
        <v>5.0232558139534884</v>
      </c>
    </row>
    <row r="24" spans="1:6">
      <c r="A24" t="s">
        <v>133</v>
      </c>
      <c r="B24">
        <v>43</v>
      </c>
      <c r="C24">
        <v>5.5813953488372094</v>
      </c>
    </row>
    <row r="25" spans="1:6">
      <c r="A25" t="s">
        <v>131</v>
      </c>
      <c r="B25">
        <v>41</v>
      </c>
      <c r="C25">
        <v>6.1463414634146343</v>
      </c>
    </row>
    <row r="26" spans="1:6">
      <c r="A26" t="s">
        <v>718</v>
      </c>
      <c r="B26">
        <v>500</v>
      </c>
      <c r="C26">
        <v>5.492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7"/>
  <sheetViews>
    <sheetView topLeftCell="A2" workbookViewId="0">
      <selection activeCell="E22" sqref="E22"/>
    </sheetView>
  </sheetViews>
  <sheetFormatPr defaultColWidth="8.88671875" defaultRowHeight="14.4"/>
  <cols>
    <col min="1" max="1" width="18.88671875" bestFit="1" customWidth="1"/>
    <col min="2" max="2" width="17.44140625" bestFit="1" customWidth="1"/>
    <col min="3" max="3" width="21.77734375" bestFit="1" customWidth="1"/>
    <col min="4" max="4" width="11.77734375"/>
    <col min="5" max="5" width="18.109375" customWidth="1"/>
    <col min="6" max="6" width="13.77734375" customWidth="1"/>
    <col min="7" max="7" width="17" customWidth="1"/>
  </cols>
  <sheetData>
    <row r="1" spans="1:7" ht="18">
      <c r="A1" s="1" t="s">
        <v>161</v>
      </c>
    </row>
    <row r="3" spans="1:7">
      <c r="A3" t="s">
        <v>162</v>
      </c>
    </row>
    <row r="4" spans="1:7">
      <c r="A4" s="2"/>
    </row>
    <row r="5" spans="1:7">
      <c r="A5" s="2" t="s">
        <v>163</v>
      </c>
    </row>
    <row r="6" spans="1:7">
      <c r="A6" s="2"/>
    </row>
    <row r="7" spans="1:7">
      <c r="A7" s="2" t="s">
        <v>164</v>
      </c>
    </row>
    <row r="8" spans="1:7">
      <c r="A8" s="2"/>
    </row>
    <row r="9" spans="1:7">
      <c r="A9" s="2" t="s">
        <v>165</v>
      </c>
    </row>
    <row r="11" spans="1:7">
      <c r="A11" s="4"/>
      <c r="B11" s="4" t="s">
        <v>719</v>
      </c>
      <c r="C11" s="4" t="s">
        <v>720</v>
      </c>
      <c r="E11" s="4" t="s">
        <v>721</v>
      </c>
    </row>
    <row r="12" spans="1:7">
      <c r="A12" s="4" t="s">
        <v>707</v>
      </c>
      <c r="B12" s="4" t="s">
        <v>722</v>
      </c>
      <c r="C12" s="4" t="s">
        <v>723</v>
      </c>
      <c r="E12" s="12" t="s">
        <v>707</v>
      </c>
      <c r="F12" s="13" t="s">
        <v>722</v>
      </c>
      <c r="G12" s="13" t="s">
        <v>724</v>
      </c>
    </row>
    <row r="13" spans="1:7">
      <c r="A13" t="s">
        <v>23</v>
      </c>
      <c r="B13">
        <f>COUNTIF(Combined!$I$2:$I$501,A13)</f>
        <v>101</v>
      </c>
      <c r="C13">
        <f>AVERAGEIF(Combined!$I$2:$I$501,A13,Combined!$D$2:$D$501)</f>
        <v>5.7821782178217802</v>
      </c>
      <c r="E13" s="8" t="s">
        <v>11</v>
      </c>
      <c r="F13" s="14">
        <f>COUNTIF(Combined!$I$2:$I$501,E13)</f>
        <v>96</v>
      </c>
      <c r="G13" s="15">
        <f>AVERAGEIF(Combined!$I$2:$I$501,E13,Combined!$D$2:$D$501)</f>
        <v>5.3333333333333304</v>
      </c>
    </row>
    <row r="14" spans="1:7">
      <c r="A14" t="s">
        <v>11</v>
      </c>
      <c r="B14">
        <f>COUNTIF(Combined!$I$2:$I$501,A14)</f>
        <v>96</v>
      </c>
      <c r="C14">
        <f>AVERAGEIF(Combined!$I$2:$I$501,A14,Combined!$D$2:$D$501)</f>
        <v>5.3333333333333304</v>
      </c>
      <c r="E14" s="9" t="s">
        <v>15</v>
      </c>
      <c r="F14" s="16">
        <f>COUNTIF(Combined!$I$2:$I$501,E14)</f>
        <v>108</v>
      </c>
      <c r="G14" s="17">
        <f>AVERAGEIF(Combined!$I$2:$I$501,E14,Combined!$D$2:$D$501)</f>
        <v>5.1666666666666696</v>
      </c>
    </row>
    <row r="15" spans="1:7">
      <c r="A15" t="s">
        <v>8</v>
      </c>
      <c r="B15">
        <f>COUNTIF(Combined!$I$2:$I$501,A15)</f>
        <v>77</v>
      </c>
      <c r="C15">
        <f>AVERAGEIF(Combined!$I$2:$I$501,A15,Combined!$D$2:$D$501)</f>
        <v>5.4805194805194803</v>
      </c>
    </row>
    <row r="16" spans="1:7">
      <c r="A16" t="s">
        <v>18</v>
      </c>
      <c r="B16">
        <f>COUNTIF(Combined!$I$2:$I$501,A16)</f>
        <v>118</v>
      </c>
      <c r="C16">
        <f>AVERAGEIF(Combined!$I$2:$I$501,A16,Combined!$D$2:$D$501)</f>
        <v>5.6779661016949197</v>
      </c>
    </row>
    <row r="17" spans="1:3">
      <c r="A17" t="s">
        <v>15</v>
      </c>
      <c r="B17">
        <f>COUNTIF(Combined!$I$2:$I$501,A17)</f>
        <v>108</v>
      </c>
      <c r="C17">
        <f>AVERAGEIF(Combined!$I$2:$I$501,A17,Combined!$D$2:$D$501)</f>
        <v>5.1666666666666696</v>
      </c>
    </row>
    <row r="18" spans="1:3">
      <c r="A18" s="4" t="s">
        <v>725</v>
      </c>
      <c r="B18" s="4">
        <f>SUM(B13:B17)</f>
        <v>500</v>
      </c>
      <c r="C18">
        <f>AVERAGE(C13:C17)</f>
        <v>5.4881327600072396</v>
      </c>
    </row>
    <row r="20" spans="1:3">
      <c r="A20" t="s">
        <v>726</v>
      </c>
    </row>
    <row r="21" spans="1:3">
      <c r="A21" s="25" t="s">
        <v>707</v>
      </c>
      <c r="B21" t="s">
        <v>727</v>
      </c>
      <c r="C21" t="s">
        <v>712</v>
      </c>
    </row>
    <row r="22" spans="1:3">
      <c r="A22" t="s">
        <v>23</v>
      </c>
      <c r="B22">
        <v>101</v>
      </c>
      <c r="C22">
        <v>5.782178217821782</v>
      </c>
    </row>
    <row r="23" spans="1:3">
      <c r="A23" t="s">
        <v>11</v>
      </c>
      <c r="B23">
        <v>96</v>
      </c>
      <c r="C23">
        <v>5.333333333333333</v>
      </c>
    </row>
    <row r="24" spans="1:3">
      <c r="A24" t="s">
        <v>8</v>
      </c>
      <c r="B24">
        <v>77</v>
      </c>
      <c r="C24">
        <v>5.4805194805194803</v>
      </c>
    </row>
    <row r="25" spans="1:3">
      <c r="A25" t="s">
        <v>18</v>
      </c>
      <c r="B25">
        <v>118</v>
      </c>
      <c r="C25">
        <v>5.6779661016949152</v>
      </c>
    </row>
    <row r="26" spans="1:3">
      <c r="A26" t="s">
        <v>15</v>
      </c>
      <c r="B26">
        <v>108</v>
      </c>
      <c r="C26">
        <v>5.166666666666667</v>
      </c>
    </row>
    <row r="27" spans="1:3">
      <c r="A27" t="s">
        <v>718</v>
      </c>
      <c r="B27">
        <v>500</v>
      </c>
      <c r="C27">
        <v>5.492</v>
      </c>
    </row>
  </sheetData>
  <pageMargins left="0.75" right="0.75" top="1" bottom="1" header="0.5" footer="0.5"/>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2"/>
  <sheetViews>
    <sheetView workbookViewId="0">
      <selection activeCell="A12" sqref="A12"/>
    </sheetView>
  </sheetViews>
  <sheetFormatPr defaultColWidth="8.88671875" defaultRowHeight="14.4"/>
  <cols>
    <col min="1" max="1" width="11" bestFit="1" customWidth="1"/>
    <col min="2" max="2" width="20" bestFit="1" customWidth="1"/>
    <col min="3" max="3" width="21.77734375" bestFit="1" customWidth="1"/>
    <col min="4" max="4" width="12.88671875"/>
  </cols>
  <sheetData>
    <row r="1" spans="1:8" ht="18">
      <c r="A1" s="1" t="s">
        <v>166</v>
      </c>
    </row>
    <row r="3" spans="1:8">
      <c r="A3" t="s">
        <v>167</v>
      </c>
    </row>
    <row r="4" spans="1:8">
      <c r="A4" s="2"/>
    </row>
    <row r="5" spans="1:8">
      <c r="A5" s="2" t="s">
        <v>168</v>
      </c>
    </row>
    <row r="6" spans="1:8">
      <c r="A6" s="2"/>
    </row>
    <row r="7" spans="1:8">
      <c r="A7" s="2" t="s">
        <v>169</v>
      </c>
      <c r="D7" t="str">
        <f>A13</f>
        <v>Sem 2 2024</v>
      </c>
    </row>
    <row r="8" spans="1:8">
      <c r="A8" s="2"/>
    </row>
    <row r="9" spans="1:8">
      <c r="A9" s="2" t="s">
        <v>170</v>
      </c>
    </row>
    <row r="11" spans="1:8">
      <c r="A11" s="4"/>
      <c r="B11" s="4" t="s">
        <v>719</v>
      </c>
      <c r="C11" s="4" t="s">
        <v>720</v>
      </c>
      <c r="H11" s="4" t="s">
        <v>721</v>
      </c>
    </row>
    <row r="12" spans="1:8">
      <c r="A12" s="4" t="s">
        <v>198</v>
      </c>
      <c r="B12" s="4" t="s">
        <v>188</v>
      </c>
      <c r="C12" s="4" t="s">
        <v>189</v>
      </c>
    </row>
    <row r="13" spans="1:8">
      <c r="A13" t="s">
        <v>201</v>
      </c>
      <c r="B13">
        <f>COUNTIF(Combined!$E$2:$E$501,A13)</f>
        <v>112</v>
      </c>
      <c r="C13">
        <f>AVERAGEIF(Combined!$E$2:$E$501,A13,Combined!$D$2:$D$501)</f>
        <v>5.5714285714285703</v>
      </c>
    </row>
    <row r="14" spans="1:8">
      <c r="A14" t="s">
        <v>207</v>
      </c>
      <c r="B14">
        <f>COUNTIF(Combined!$E$2:$E$501,A14)</f>
        <v>130</v>
      </c>
      <c r="C14">
        <f>AVERAGEIF(Combined!$E$2:$E$501,A14,Combined!$D$2:$D$501)</f>
        <v>5.5692307692307699</v>
      </c>
    </row>
    <row r="15" spans="1:8">
      <c r="A15" t="s">
        <v>210</v>
      </c>
      <c r="B15">
        <f>COUNTIF(Combined!$E$2:$E$501,A15)</f>
        <v>143</v>
      </c>
      <c r="C15">
        <f>AVERAGEIF(Combined!$E$2:$E$501,A15,Combined!$D$2:$D$501)</f>
        <v>5.5524475524475498</v>
      </c>
    </row>
    <row r="16" spans="1:8">
      <c r="A16" t="s">
        <v>204</v>
      </c>
      <c r="B16">
        <f>COUNTIF(Combined!$E$2:$E$501,A16)</f>
        <v>115</v>
      </c>
      <c r="C16">
        <f>AVERAGEIF(Combined!$E$2:$E$501,A16,Combined!$D$2:$D$501)</f>
        <v>5.2521739130434799</v>
      </c>
    </row>
    <row r="17" spans="1:3">
      <c r="A17" s="4" t="s">
        <v>725</v>
      </c>
      <c r="B17" s="4">
        <f>SUM(B13:B16)</f>
        <v>500</v>
      </c>
    </row>
    <row r="19" spans="1:3">
      <c r="B19" t="s">
        <v>726</v>
      </c>
    </row>
    <row r="20" spans="1:3">
      <c r="A20" s="25" t="s">
        <v>198</v>
      </c>
      <c r="B20" t="s">
        <v>711</v>
      </c>
      <c r="C20" t="s">
        <v>712</v>
      </c>
    </row>
    <row r="21" spans="1:3">
      <c r="A21" t="s">
        <v>204</v>
      </c>
      <c r="B21">
        <v>115</v>
      </c>
      <c r="C21">
        <v>5.2521739130434781</v>
      </c>
    </row>
    <row r="22" spans="1:3">
      <c r="A22" t="s">
        <v>718</v>
      </c>
      <c r="B22">
        <v>115</v>
      </c>
      <c r="C22">
        <v>5.2521739130434781</v>
      </c>
    </row>
  </sheetData>
  <pageMargins left="0.75" right="0.75" top="1" bottom="1" header="0.5" footer="0.5"/>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7"/>
  <sheetViews>
    <sheetView topLeftCell="A18" workbookViewId="0">
      <selection activeCell="M24" sqref="M24"/>
    </sheetView>
  </sheetViews>
  <sheetFormatPr defaultColWidth="8.88671875" defaultRowHeight="14.4"/>
  <cols>
    <col min="1" max="1" width="11.6640625"/>
    <col min="2" max="2" width="9.33203125" bestFit="1" customWidth="1"/>
    <col min="3" max="3" width="19.88671875" bestFit="1" customWidth="1"/>
  </cols>
  <sheetData>
    <row r="1" spans="1:2" ht="18">
      <c r="A1" s="1" t="s">
        <v>171</v>
      </c>
    </row>
    <row r="3" spans="1:2">
      <c r="A3" t="s">
        <v>172</v>
      </c>
    </row>
    <row r="4" spans="1:2">
      <c r="A4" s="2"/>
    </row>
    <row r="5" spans="1:2">
      <c r="A5" s="2" t="s">
        <v>173</v>
      </c>
    </row>
    <row r="6" spans="1:2">
      <c r="A6" s="2"/>
    </row>
    <row r="7" spans="1:2">
      <c r="A7" s="2" t="s">
        <v>174</v>
      </c>
    </row>
    <row r="8" spans="1:2">
      <c r="A8" s="2"/>
    </row>
    <row r="9" spans="1:2">
      <c r="A9" s="2" t="s">
        <v>175</v>
      </c>
    </row>
    <row r="11" spans="1:2">
      <c r="B11" s="4" t="s">
        <v>719</v>
      </c>
    </row>
    <row r="12" spans="1:2">
      <c r="A12" s="4" t="s">
        <v>2</v>
      </c>
      <c r="B12" s="4" t="s">
        <v>189</v>
      </c>
    </row>
    <row r="13" spans="1:2">
      <c r="A13" t="s">
        <v>7</v>
      </c>
      <c r="B13">
        <f>AVERAGEIF(Combined!$G$2:$G$501,A13,Combined!$D$2:$D$501)</f>
        <v>5.6622516556291398</v>
      </c>
    </row>
    <row r="14" spans="1:2">
      <c r="A14" t="s">
        <v>26</v>
      </c>
      <c r="B14">
        <f>AVERAGEIF(Combined!$G$2:$G$501,A14,Combined!$D$2:$D$501)</f>
        <v>5.23232323232323</v>
      </c>
    </row>
    <row r="16" spans="1:2">
      <c r="B16" s="4" t="s">
        <v>720</v>
      </c>
    </row>
    <row r="17" spans="1:7">
      <c r="A17" s="4" t="s">
        <v>4</v>
      </c>
      <c r="B17" s="4" t="s">
        <v>2</v>
      </c>
      <c r="C17" s="4" t="s">
        <v>728</v>
      </c>
    </row>
    <row r="18" spans="1:7">
      <c r="A18" s="8" t="s">
        <v>11</v>
      </c>
      <c r="B18" t="s">
        <v>7</v>
      </c>
      <c r="C18">
        <f>AVERAGEIFS(Combined!$D$2:$D$501,Combined!$G$2:$G$501,B18,Combined!$I$2:$I$501,$A$18)</f>
        <v>5.29824561403509</v>
      </c>
    </row>
    <row r="19" spans="1:7">
      <c r="B19" t="s">
        <v>26</v>
      </c>
      <c r="C19">
        <f>AVERAGEIFS(Combined!$D$2:$D$501,Combined!$G$2:$G$501,B19,Combined!$I$2:$I$501,$A$18)</f>
        <v>5.3846153846153904</v>
      </c>
    </row>
    <row r="21" spans="1:7">
      <c r="A21" s="25" t="s">
        <v>189</v>
      </c>
      <c r="B21" s="25" t="s">
        <v>2</v>
      </c>
      <c r="C21" t="s">
        <v>729</v>
      </c>
      <c r="G21" s="4" t="s">
        <v>730</v>
      </c>
    </row>
    <row r="22" spans="1:7">
      <c r="A22">
        <v>0</v>
      </c>
      <c r="C22">
        <v>96</v>
      </c>
    </row>
    <row r="23" spans="1:7">
      <c r="B23" t="s">
        <v>26</v>
      </c>
      <c r="C23">
        <v>47</v>
      </c>
    </row>
    <row r="24" spans="1:7">
      <c r="B24" t="s">
        <v>7</v>
      </c>
      <c r="C24">
        <v>49</v>
      </c>
    </row>
    <row r="25" spans="1:7">
      <c r="A25">
        <v>4</v>
      </c>
      <c r="C25">
        <v>113</v>
      </c>
    </row>
    <row r="26" spans="1:7">
      <c r="B26" t="s">
        <v>26</v>
      </c>
      <c r="C26">
        <v>40</v>
      </c>
    </row>
    <row r="27" spans="1:7">
      <c r="B27" t="s">
        <v>7</v>
      </c>
      <c r="C27">
        <v>73</v>
      </c>
    </row>
    <row r="28" spans="1:7">
      <c r="A28">
        <v>6</v>
      </c>
      <c r="C28">
        <v>105</v>
      </c>
    </row>
    <row r="29" spans="1:7">
      <c r="B29" t="s">
        <v>26</v>
      </c>
      <c r="C29">
        <v>37</v>
      </c>
    </row>
    <row r="30" spans="1:7">
      <c r="B30" t="s">
        <v>7</v>
      </c>
      <c r="C30">
        <v>68</v>
      </c>
    </row>
    <row r="31" spans="1:7">
      <c r="A31">
        <v>8</v>
      </c>
      <c r="C31">
        <v>98</v>
      </c>
    </row>
    <row r="32" spans="1:7">
      <c r="B32" t="s">
        <v>26</v>
      </c>
      <c r="C32">
        <v>43</v>
      </c>
    </row>
    <row r="33" spans="1:3">
      <c r="B33" t="s">
        <v>7</v>
      </c>
      <c r="C33">
        <v>55</v>
      </c>
    </row>
    <row r="34" spans="1:3">
      <c r="A34">
        <v>10</v>
      </c>
      <c r="C34">
        <v>88</v>
      </c>
    </row>
    <row r="35" spans="1:3">
      <c r="B35" t="s">
        <v>26</v>
      </c>
      <c r="C35">
        <v>31</v>
      </c>
    </row>
    <row r="36" spans="1:3">
      <c r="B36" t="s">
        <v>7</v>
      </c>
      <c r="C36">
        <v>57</v>
      </c>
    </row>
    <row r="37" spans="1:3">
      <c r="A37" t="s">
        <v>718</v>
      </c>
      <c r="C37">
        <v>500</v>
      </c>
    </row>
  </sheetData>
  <pageMargins left="0.75" right="0.75" top="1" bottom="1" header="0.5" footer="0.5"/>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618"/>
  <sheetViews>
    <sheetView topLeftCell="A14" zoomScale="80" zoomScaleNormal="80" workbookViewId="0">
      <selection activeCell="H15" sqref="H15"/>
    </sheetView>
  </sheetViews>
  <sheetFormatPr defaultColWidth="8.88671875" defaultRowHeight="14.4"/>
  <cols>
    <col min="5" max="5" width="17.21875" customWidth="1"/>
    <col min="8" max="8" width="15.77734375"/>
    <col min="9" max="9" width="11.21875"/>
    <col min="10" max="10" width="17.88671875"/>
    <col min="11" max="11" width="20.109375" customWidth="1"/>
    <col min="12" max="14" width="17.21875"/>
    <col min="15" max="16" width="15"/>
    <col min="17" max="17" width="15.77734375" bestFit="1" customWidth="1"/>
    <col min="18" max="18" width="11.5546875" bestFit="1" customWidth="1"/>
    <col min="19" max="19" width="16.77734375" bestFit="1" customWidth="1"/>
    <col min="20" max="20" width="14.88671875" customWidth="1"/>
  </cols>
  <sheetData>
    <row r="1" spans="1:9" ht="18">
      <c r="A1" s="1" t="s">
        <v>176</v>
      </c>
    </row>
    <row r="3" spans="1:9">
      <c r="A3" t="s">
        <v>177</v>
      </c>
    </row>
    <row r="4" spans="1:9">
      <c r="A4" s="2"/>
    </row>
    <row r="5" spans="1:9">
      <c r="A5" s="2" t="s">
        <v>178</v>
      </c>
    </row>
    <row r="6" spans="1:9">
      <c r="A6" s="2"/>
    </row>
    <row r="7" spans="1:9">
      <c r="A7" s="2" t="s">
        <v>179</v>
      </c>
    </row>
    <row r="8" spans="1:9">
      <c r="A8" s="2"/>
    </row>
    <row r="9" spans="1:9">
      <c r="A9" s="2" t="s">
        <v>180</v>
      </c>
    </row>
    <row r="10" spans="1:9">
      <c r="A10" s="2"/>
    </row>
    <row r="11" spans="1:9">
      <c r="A11" s="2"/>
    </row>
    <row r="12" spans="1:9">
      <c r="A12" s="3"/>
      <c r="I12" s="4" t="s">
        <v>730</v>
      </c>
    </row>
    <row r="13" spans="1:9">
      <c r="A13" s="3" t="s">
        <v>181</v>
      </c>
      <c r="I13">
        <f>COUNTIF(Enrollments!D2:D501,"A")</f>
        <v>88</v>
      </c>
    </row>
    <row r="14" spans="1:9">
      <c r="A14" s="3"/>
    </row>
    <row r="15" spans="1:9">
      <c r="A15" s="3" t="s">
        <v>182</v>
      </c>
    </row>
    <row r="17" spans="1:15">
      <c r="B17" s="4" t="s">
        <v>731</v>
      </c>
      <c r="C17" s="4"/>
      <c r="J17" s="4" t="s">
        <v>732</v>
      </c>
      <c r="M17" t="s">
        <v>733</v>
      </c>
    </row>
    <row r="19" spans="1:15">
      <c r="A19" s="5" t="s">
        <v>196</v>
      </c>
      <c r="B19" s="5" t="s">
        <v>0</v>
      </c>
      <c r="C19" s="5" t="s">
        <v>734</v>
      </c>
      <c r="D19" s="5" t="s">
        <v>127</v>
      </c>
      <c r="E19" s="5" t="s">
        <v>128</v>
      </c>
      <c r="F19" t="s">
        <v>708</v>
      </c>
      <c r="H19" t="s">
        <v>1</v>
      </c>
      <c r="I19" t="s">
        <v>127</v>
      </c>
      <c r="J19" t="s">
        <v>735</v>
      </c>
      <c r="K19" s="10"/>
      <c r="M19" t="s">
        <v>0</v>
      </c>
      <c r="N19" t="s">
        <v>196</v>
      </c>
      <c r="O19" t="s">
        <v>736</v>
      </c>
    </row>
    <row r="20" spans="1:15">
      <c r="A20" s="6" t="s">
        <v>253</v>
      </c>
      <c r="B20" s="7" t="str">
        <f>VLOOKUP(A20,Combined!$A$1:$C$501,2,FALSE)</f>
        <v>S001</v>
      </c>
      <c r="C20" s="7" t="s">
        <v>6</v>
      </c>
      <c r="D20" s="7" t="str">
        <f>VLOOKUP(A20,Combined!$A$1:$C$501,3,FALSE)</f>
        <v>C006</v>
      </c>
      <c r="E20" t="str">
        <f>VLOOKUP(D20,Combined!$C$1:$H$501,6,FALSE)</f>
        <v>Fluid Mechanics</v>
      </c>
      <c r="F20">
        <f>VLOOKUP(D20,Combined!$C$1:$J$501,8,FALSE)</f>
        <v>4</v>
      </c>
      <c r="H20" t="s">
        <v>25</v>
      </c>
      <c r="J20">
        <v>5</v>
      </c>
      <c r="M20" t="s">
        <v>5</v>
      </c>
      <c r="O20">
        <v>18</v>
      </c>
    </row>
    <row r="21" spans="1:15">
      <c r="A21" s="8" t="s">
        <v>318</v>
      </c>
      <c r="B21" s="7" t="str">
        <f>VLOOKUP(A21,Combined!$A$1:$C$501,2,FALSE)</f>
        <v>S001</v>
      </c>
      <c r="C21" s="7" t="s">
        <v>6</v>
      </c>
      <c r="D21" s="7" t="str">
        <f>VLOOKUP(A21,Combined!$A$1:$C$501,3,FALSE)</f>
        <v>C007</v>
      </c>
      <c r="E21" t="str">
        <f>VLOOKUP(D21,Combined!$C$1:$H$501,6,FALSE)</f>
        <v>Digital Logic</v>
      </c>
      <c r="F21">
        <f>VLOOKUP(D21,Combined!$C$1:$J$501,8,FALSE)</f>
        <v>3</v>
      </c>
      <c r="I21" t="s">
        <v>132</v>
      </c>
      <c r="J21">
        <v>3</v>
      </c>
      <c r="N21" t="s">
        <v>253</v>
      </c>
      <c r="O21">
        <v>4</v>
      </c>
    </row>
    <row r="22" spans="1:15">
      <c r="A22" s="8" t="s">
        <v>454</v>
      </c>
      <c r="B22" s="7" t="str">
        <f>VLOOKUP(A22,Combined!$A$1:$C$501,2,FALSE)</f>
        <v>S001</v>
      </c>
      <c r="C22" s="7" t="s">
        <v>6</v>
      </c>
      <c r="D22" s="7" t="str">
        <f>VLOOKUP(A22,Combined!$A$1:$C$501,3,FALSE)</f>
        <v>C003</v>
      </c>
      <c r="E22" t="str">
        <f>VLOOKUP(D22,Combined!$C$1:$H$501,6,FALSE)</f>
        <v>Thermodynamics</v>
      </c>
      <c r="F22">
        <f>VLOOKUP(D22,Combined!$C$1:$J$501,8,FALSE)</f>
        <v>3</v>
      </c>
      <c r="I22" t="s">
        <v>138</v>
      </c>
      <c r="J22">
        <v>2</v>
      </c>
      <c r="N22" t="s">
        <v>318</v>
      </c>
      <c r="O22">
        <v>3</v>
      </c>
    </row>
    <row r="23" spans="1:15">
      <c r="A23" s="8" t="s">
        <v>466</v>
      </c>
      <c r="B23" s="7" t="str">
        <f>VLOOKUP(A23,Combined!$A$1:$C$501,2,FALSE)</f>
        <v>S001</v>
      </c>
      <c r="C23" s="7" t="s">
        <v>6</v>
      </c>
      <c r="D23" s="7" t="str">
        <f>VLOOKUP(A23,Combined!$A$1:$C$501,3,FALSE)</f>
        <v>C004</v>
      </c>
      <c r="E23" t="str">
        <f>VLOOKUP(D23,Combined!$C$1:$H$501,6,FALSE)</f>
        <v>Circuits</v>
      </c>
      <c r="F23">
        <f>VLOOKUP(D23,Combined!$C$1:$J$501,8,FALSE)</f>
        <v>4</v>
      </c>
      <c r="H23" t="s">
        <v>14</v>
      </c>
      <c r="J23">
        <v>10</v>
      </c>
      <c r="N23" t="s">
        <v>454</v>
      </c>
      <c r="O23">
        <v>3</v>
      </c>
    </row>
    <row r="24" spans="1:15">
      <c r="A24" s="8" t="s">
        <v>542</v>
      </c>
      <c r="B24" s="7" t="str">
        <f>VLOOKUP(A24,Combined!$A$1:$C$501,2,FALSE)</f>
        <v>S001</v>
      </c>
      <c r="C24" s="7" t="s">
        <v>6</v>
      </c>
      <c r="D24" s="7" t="str">
        <f>VLOOKUP(A24,Combined!$A$1:$C$501,3,FALSE)</f>
        <v>C010</v>
      </c>
      <c r="E24" t="str">
        <f>VLOOKUP(D24,Combined!$C$1:$H$501,6,FALSE)</f>
        <v>Finance</v>
      </c>
      <c r="F24">
        <f>VLOOKUP(D24,Combined!$C$1:$J$501,8,FALSE)</f>
        <v>4</v>
      </c>
      <c r="I24" t="s">
        <v>132</v>
      </c>
      <c r="J24">
        <v>6</v>
      </c>
      <c r="N24" t="s">
        <v>466</v>
      </c>
      <c r="O24">
        <v>4</v>
      </c>
    </row>
    <row r="25" spans="1:15">
      <c r="A25" s="9" t="s">
        <v>277</v>
      </c>
      <c r="B25" s="7" t="str">
        <f>VLOOKUP(A25,Combined!$A$1:$C$501,2,FALSE)</f>
        <v>S002</v>
      </c>
      <c r="C25" s="7" t="s">
        <v>10</v>
      </c>
      <c r="D25" s="7" t="str">
        <f>VLOOKUP(A25,Combined!$A$1:$C$501,3,FALSE)</f>
        <v>C007</v>
      </c>
      <c r="E25" t="str">
        <f>VLOOKUP(D25,Combined!$C$1:$H$501,6,FALSE)</f>
        <v>Digital Logic</v>
      </c>
      <c r="F25">
        <f>VLOOKUP(D25,Combined!$C$1:$J$501,8,FALSE)</f>
        <v>3</v>
      </c>
      <c r="I25" t="s">
        <v>138</v>
      </c>
      <c r="J25">
        <v>4</v>
      </c>
      <c r="N25" t="s">
        <v>542</v>
      </c>
      <c r="O25">
        <v>4</v>
      </c>
    </row>
    <row r="26" spans="1:15">
      <c r="A26" s="9" t="s">
        <v>305</v>
      </c>
      <c r="B26" s="7" t="str">
        <f>VLOOKUP(A26,Combined!$A$1:$C$501,2,FALSE)</f>
        <v>S002</v>
      </c>
      <c r="C26" s="7" t="s">
        <v>10</v>
      </c>
      <c r="D26" s="7" t="str">
        <f>VLOOKUP(A26,Combined!$A$1:$C$501,3,FALSE)</f>
        <v>C010</v>
      </c>
      <c r="E26" t="str">
        <f>VLOOKUP(D26,Combined!$C$1:$H$501,6,FALSE)</f>
        <v>Finance</v>
      </c>
      <c r="F26">
        <f>VLOOKUP(D26,Combined!$C$1:$J$501,8,FALSE)</f>
        <v>4</v>
      </c>
      <c r="H26" t="s">
        <v>67</v>
      </c>
      <c r="J26">
        <v>3</v>
      </c>
      <c r="M26" t="s">
        <v>9</v>
      </c>
      <c r="O26">
        <v>21</v>
      </c>
    </row>
    <row r="27" spans="1:15">
      <c r="A27" s="8" t="s">
        <v>364</v>
      </c>
      <c r="B27" s="7" t="str">
        <f>VLOOKUP(A27,Combined!$A$1:$C$501,2,FALSE)</f>
        <v>S002</v>
      </c>
      <c r="C27" s="7" t="s">
        <v>10</v>
      </c>
      <c r="D27" s="7" t="str">
        <f>VLOOKUP(A27,Combined!$A$1:$C$501,3,FALSE)</f>
        <v>C003</v>
      </c>
      <c r="E27" t="str">
        <f>VLOOKUP(D27,Combined!$C$1:$H$501,6,FALSE)</f>
        <v>Thermodynamics</v>
      </c>
      <c r="F27">
        <f>VLOOKUP(D27,Combined!$C$1:$J$501,8,FALSE)</f>
        <v>3</v>
      </c>
      <c r="I27" t="s">
        <v>132</v>
      </c>
      <c r="J27">
        <v>2</v>
      </c>
      <c r="N27" t="s">
        <v>277</v>
      </c>
      <c r="O27">
        <v>3</v>
      </c>
    </row>
    <row r="28" spans="1:15">
      <c r="A28" s="9" t="s">
        <v>399</v>
      </c>
      <c r="B28" s="7" t="str">
        <f>VLOOKUP(A28,Combined!$A$1:$C$501,2,FALSE)</f>
        <v>S002</v>
      </c>
      <c r="C28" s="7" t="s">
        <v>10</v>
      </c>
      <c r="D28" s="7" t="str">
        <f>VLOOKUP(A28,Combined!$A$1:$C$501,3,FALSE)</f>
        <v>C005</v>
      </c>
      <c r="E28" t="str">
        <f>VLOOKUP(D28,Combined!$C$1:$H$501,6,FALSE)</f>
        <v>AI &amp; ML</v>
      </c>
      <c r="F28">
        <f>VLOOKUP(D28,Combined!$C$1:$J$501,8,FALSE)</f>
        <v>3</v>
      </c>
      <c r="I28" t="s">
        <v>138</v>
      </c>
      <c r="J28">
        <v>1</v>
      </c>
      <c r="N28" t="s">
        <v>305</v>
      </c>
      <c r="O28">
        <v>4</v>
      </c>
    </row>
    <row r="29" spans="1:15">
      <c r="A29" s="9" t="s">
        <v>421</v>
      </c>
      <c r="B29" s="7" t="str">
        <f>VLOOKUP(A29,Combined!$A$1:$C$501,2,FALSE)</f>
        <v>S002</v>
      </c>
      <c r="C29" s="7" t="s">
        <v>10</v>
      </c>
      <c r="D29" s="7" t="str">
        <f>VLOOKUP(A29,Combined!$A$1:$C$501,3,FALSE)</f>
        <v>C006</v>
      </c>
      <c r="E29" t="str">
        <f>VLOOKUP(D29,Combined!$C$1:$H$501,6,FALSE)</f>
        <v>Fluid Mechanics</v>
      </c>
      <c r="F29">
        <f>VLOOKUP(D29,Combined!$C$1:$J$501,8,FALSE)</f>
        <v>4</v>
      </c>
      <c r="H29" t="s">
        <v>28</v>
      </c>
      <c r="J29">
        <v>7</v>
      </c>
      <c r="N29" t="s">
        <v>364</v>
      </c>
      <c r="O29">
        <v>3</v>
      </c>
    </row>
    <row r="30" spans="1:15">
      <c r="A30" s="9" t="s">
        <v>677</v>
      </c>
      <c r="B30" s="7" t="str">
        <f>VLOOKUP(A30,Combined!$A$1:$C$501,2,FALSE)</f>
        <v>S002</v>
      </c>
      <c r="C30" s="7" t="s">
        <v>10</v>
      </c>
      <c r="D30" s="7" t="str">
        <f>VLOOKUP(A30,Combined!$A$1:$C$501,3,FALSE)</f>
        <v>C006</v>
      </c>
      <c r="E30" t="str">
        <f>VLOOKUP(D30,Combined!$C$1:$H$501,6,FALSE)</f>
        <v>Fluid Mechanics</v>
      </c>
      <c r="F30">
        <f>VLOOKUP(D30,Combined!$C$1:$J$501,8,FALSE)</f>
        <v>4</v>
      </c>
      <c r="I30" t="s">
        <v>132</v>
      </c>
      <c r="J30">
        <v>3</v>
      </c>
      <c r="N30" t="s">
        <v>399</v>
      </c>
      <c r="O30">
        <v>3</v>
      </c>
    </row>
    <row r="31" spans="1:15">
      <c r="A31" s="8" t="s">
        <v>422</v>
      </c>
      <c r="B31" s="7" t="str">
        <f>VLOOKUP(A31,Combined!$A$1:$C$501,2,FALSE)</f>
        <v>S003</v>
      </c>
      <c r="C31" s="7" t="s">
        <v>6</v>
      </c>
      <c r="D31" s="7" t="str">
        <f>VLOOKUP(A31,Combined!$A$1:$C$501,3,FALSE)</f>
        <v>C003</v>
      </c>
      <c r="E31" t="str">
        <f>VLOOKUP(D31,Combined!$C$1:$H$501,6,FALSE)</f>
        <v>Thermodynamics</v>
      </c>
      <c r="F31">
        <f>VLOOKUP(D31,Combined!$C$1:$J$501,8,FALSE)</f>
        <v>3</v>
      </c>
      <c r="I31" t="s">
        <v>138</v>
      </c>
      <c r="J31">
        <v>4</v>
      </c>
      <c r="N31" t="s">
        <v>421</v>
      </c>
      <c r="O31">
        <v>4</v>
      </c>
    </row>
    <row r="32" spans="1:15">
      <c r="A32" s="8" t="s">
        <v>472</v>
      </c>
      <c r="B32" s="7" t="str">
        <f>VLOOKUP(A32,Combined!$A$1:$C$501,2,FALSE)</f>
        <v>S003</v>
      </c>
      <c r="C32" s="7" t="s">
        <v>6</v>
      </c>
      <c r="D32" s="7" t="str">
        <f>VLOOKUP(A32,Combined!$A$1:$C$501,3,FALSE)</f>
        <v>C008</v>
      </c>
      <c r="E32" t="str">
        <f>VLOOKUP(D32,Combined!$C$1:$H$501,6,FALSE)</f>
        <v>Structural Analysis</v>
      </c>
      <c r="F32">
        <f>VLOOKUP(D32,Combined!$C$1:$J$501,8,FALSE)</f>
        <v>4</v>
      </c>
      <c r="H32" t="s">
        <v>17</v>
      </c>
      <c r="J32">
        <v>5</v>
      </c>
      <c r="N32" t="s">
        <v>677</v>
      </c>
      <c r="O32">
        <v>4</v>
      </c>
    </row>
    <row r="33" spans="1:15">
      <c r="A33" s="9" t="s">
        <v>639</v>
      </c>
      <c r="B33" s="7" t="str">
        <f>VLOOKUP(A33,Combined!$A$1:$C$501,2,FALSE)</f>
        <v>S003</v>
      </c>
      <c r="C33" s="7" t="s">
        <v>6</v>
      </c>
      <c r="D33" s="7" t="str">
        <f>VLOOKUP(A33,Combined!$A$1:$C$501,3,FALSE)</f>
        <v>C006</v>
      </c>
      <c r="E33" t="str">
        <f>VLOOKUP(D33,Combined!$C$1:$H$501,6,FALSE)</f>
        <v>Fluid Mechanics</v>
      </c>
      <c r="F33">
        <f>VLOOKUP(D33,Combined!$C$1:$J$501,8,FALSE)</f>
        <v>4</v>
      </c>
      <c r="I33" t="s">
        <v>132</v>
      </c>
      <c r="J33">
        <v>3</v>
      </c>
      <c r="M33" t="s">
        <v>12</v>
      </c>
      <c r="O33">
        <v>11</v>
      </c>
    </row>
    <row r="34" spans="1:15">
      <c r="A34" s="9" t="s">
        <v>209</v>
      </c>
      <c r="B34" s="7" t="str">
        <f>VLOOKUP(A34,Combined!$A$1:$C$501,2,FALSE)</f>
        <v>S004</v>
      </c>
      <c r="C34" s="7" t="s">
        <v>14</v>
      </c>
      <c r="D34" s="7" t="str">
        <f>VLOOKUP(A34,Combined!$A$1:$C$501,3,FALSE)</f>
        <v>C004</v>
      </c>
      <c r="E34" t="str">
        <f>VLOOKUP(D34,Combined!$C$1:$H$501,6,FALSE)</f>
        <v>Circuits</v>
      </c>
      <c r="F34">
        <f>VLOOKUP(D34,Combined!$C$1:$J$501,8,FALSE)</f>
        <v>4</v>
      </c>
      <c r="I34" t="s">
        <v>138</v>
      </c>
      <c r="J34">
        <v>2</v>
      </c>
      <c r="N34" t="s">
        <v>422</v>
      </c>
      <c r="O34">
        <v>3</v>
      </c>
    </row>
    <row r="35" spans="1:15">
      <c r="A35" s="8" t="s">
        <v>213</v>
      </c>
      <c r="B35" s="7" t="str">
        <f>VLOOKUP(A35,Combined!$A$1:$C$501,2,FALSE)</f>
        <v>S004</v>
      </c>
      <c r="C35" s="7" t="s">
        <v>14</v>
      </c>
      <c r="D35" s="7" t="str">
        <f>VLOOKUP(A35,Combined!$A$1:$C$501,3,FALSE)</f>
        <v>C002</v>
      </c>
      <c r="E35" t="str">
        <f>VLOOKUP(D35,Combined!$C$1:$H$501,6,FALSE)</f>
        <v>DBMS</v>
      </c>
      <c r="F35">
        <f>VLOOKUP(D35,Combined!$C$1:$J$501,8,FALSE)</f>
        <v>4</v>
      </c>
      <c r="H35" t="s">
        <v>47</v>
      </c>
      <c r="J35">
        <v>10</v>
      </c>
      <c r="N35" t="s">
        <v>472</v>
      </c>
      <c r="O35">
        <v>4</v>
      </c>
    </row>
    <row r="36" spans="1:15">
      <c r="A36" s="8" t="s">
        <v>330</v>
      </c>
      <c r="B36" s="7" t="str">
        <f>VLOOKUP(A36,Combined!$A$1:$C$501,2,FALSE)</f>
        <v>S004</v>
      </c>
      <c r="C36" s="7" t="s">
        <v>14</v>
      </c>
      <c r="D36" s="7" t="str">
        <f>VLOOKUP(A36,Combined!$A$1:$C$501,3,FALSE)</f>
        <v>C002</v>
      </c>
      <c r="E36" t="str">
        <f>VLOOKUP(D36,Combined!$C$1:$H$501,6,FALSE)</f>
        <v>DBMS</v>
      </c>
      <c r="F36">
        <f>VLOOKUP(D36,Combined!$C$1:$J$501,8,FALSE)</f>
        <v>4</v>
      </c>
      <c r="I36" t="s">
        <v>132</v>
      </c>
      <c r="J36">
        <v>4</v>
      </c>
      <c r="N36" t="s">
        <v>639</v>
      </c>
      <c r="O36">
        <v>4</v>
      </c>
    </row>
    <row r="37" spans="1:15">
      <c r="A37" s="8" t="s">
        <v>346</v>
      </c>
      <c r="B37" s="7" t="str">
        <f>VLOOKUP(A37,Combined!$A$1:$C$501,2,FALSE)</f>
        <v>S004</v>
      </c>
      <c r="C37" s="7" t="s">
        <v>14</v>
      </c>
      <c r="D37" s="7" t="str">
        <f>VLOOKUP(A37,Combined!$A$1:$C$501,3,FALSE)</f>
        <v>C010</v>
      </c>
      <c r="E37" t="str">
        <f>VLOOKUP(D37,Combined!$C$1:$H$501,6,FALSE)</f>
        <v>Finance</v>
      </c>
      <c r="F37">
        <f>VLOOKUP(D37,Combined!$C$1:$J$501,8,FALSE)</f>
        <v>4</v>
      </c>
      <c r="I37" t="s">
        <v>138</v>
      </c>
      <c r="J37">
        <v>6</v>
      </c>
      <c r="M37" t="s">
        <v>13</v>
      </c>
      <c r="O37">
        <v>22</v>
      </c>
    </row>
    <row r="38" spans="1:15">
      <c r="A38" s="8" t="s">
        <v>528</v>
      </c>
      <c r="B38" s="7" t="str">
        <f>VLOOKUP(A38,Combined!$A$1:$C$501,2,FALSE)</f>
        <v>S004</v>
      </c>
      <c r="C38" s="7" t="s">
        <v>14</v>
      </c>
      <c r="D38" s="7" t="str">
        <f>VLOOKUP(A38,Combined!$A$1:$C$501,3,FALSE)</f>
        <v>C007</v>
      </c>
      <c r="E38" t="str">
        <f>VLOOKUP(D38,Combined!$C$1:$H$501,6,FALSE)</f>
        <v>Digital Logic</v>
      </c>
      <c r="F38">
        <f>VLOOKUP(D38,Combined!$C$1:$J$501,8,FALSE)</f>
        <v>3</v>
      </c>
      <c r="H38" t="s">
        <v>39</v>
      </c>
      <c r="J38">
        <v>8</v>
      </c>
      <c r="N38" t="s">
        <v>209</v>
      </c>
      <c r="O38">
        <v>4</v>
      </c>
    </row>
    <row r="39" spans="1:15">
      <c r="A39" s="9" t="s">
        <v>577</v>
      </c>
      <c r="B39" s="7" t="str">
        <f>VLOOKUP(A39,Combined!$A$1:$C$501,2,FALSE)</f>
        <v>S004</v>
      </c>
      <c r="C39" s="7" t="s">
        <v>14</v>
      </c>
      <c r="D39" s="7" t="str">
        <f>VLOOKUP(A39,Combined!$A$1:$C$501,3,FALSE)</f>
        <v>C003</v>
      </c>
      <c r="E39" t="str">
        <f>VLOOKUP(D39,Combined!$C$1:$H$501,6,FALSE)</f>
        <v>Thermodynamics</v>
      </c>
      <c r="F39">
        <f>VLOOKUP(D39,Combined!$C$1:$J$501,8,FALSE)</f>
        <v>3</v>
      </c>
      <c r="I39" t="s">
        <v>132</v>
      </c>
      <c r="J39">
        <v>2</v>
      </c>
      <c r="N39" t="s">
        <v>213</v>
      </c>
      <c r="O39">
        <v>4</v>
      </c>
    </row>
    <row r="40" spans="1:15">
      <c r="A40" s="9" t="s">
        <v>705</v>
      </c>
      <c r="B40" s="7" t="str">
        <f>VLOOKUP(A40,Combined!$A$1:$C$501,2,FALSE)</f>
        <v>S005</v>
      </c>
      <c r="C40" s="7" t="s">
        <v>17</v>
      </c>
      <c r="D40" s="7" t="str">
        <f>VLOOKUP(A40,Combined!$A$1:$C$501,3,FALSE)</f>
        <v>C005</v>
      </c>
      <c r="E40" t="str">
        <f>VLOOKUP(D40,Combined!$C$1:$H$501,6,FALSE)</f>
        <v>AI &amp; ML</v>
      </c>
      <c r="F40">
        <f>VLOOKUP(D40,Combined!$C$1:$J$501,8,FALSE)</f>
        <v>3</v>
      </c>
      <c r="I40" t="s">
        <v>138</v>
      </c>
      <c r="J40">
        <v>6</v>
      </c>
      <c r="N40" t="s">
        <v>330</v>
      </c>
      <c r="O40">
        <v>4</v>
      </c>
    </row>
    <row r="41" spans="1:15">
      <c r="A41" s="9" t="s">
        <v>219</v>
      </c>
      <c r="B41" s="7" t="str">
        <f>VLOOKUP(A41,Combined!$A$1:$C$501,2,FALSE)</f>
        <v>S006</v>
      </c>
      <c r="C41" s="7" t="s">
        <v>20</v>
      </c>
      <c r="D41" s="7" t="str">
        <f>VLOOKUP(A41,Combined!$A$1:$C$501,3,FALSE)</f>
        <v>C007</v>
      </c>
      <c r="E41" t="str">
        <f>VLOOKUP(D41,Combined!$C$1:$H$501,6,FALSE)</f>
        <v>Digital Logic</v>
      </c>
      <c r="F41">
        <f>VLOOKUP(D41,Combined!$C$1:$J$501,8,FALSE)</f>
        <v>3</v>
      </c>
      <c r="H41" t="s">
        <v>6</v>
      </c>
      <c r="J41">
        <v>5</v>
      </c>
      <c r="N41" t="s">
        <v>346</v>
      </c>
      <c r="O41">
        <v>4</v>
      </c>
    </row>
    <row r="42" spans="1:15">
      <c r="A42" s="9" t="s">
        <v>303</v>
      </c>
      <c r="B42" s="7" t="str">
        <f>VLOOKUP(A42,Combined!$A$1:$C$501,2,FALSE)</f>
        <v>S006</v>
      </c>
      <c r="C42" s="7" t="s">
        <v>20</v>
      </c>
      <c r="D42" s="7" t="str">
        <f>VLOOKUP(A42,Combined!$A$1:$C$501,3,FALSE)</f>
        <v>C001</v>
      </c>
      <c r="E42" t="str">
        <f>VLOOKUP(D42,Combined!$C$1:$H$501,6,FALSE)</f>
        <v>Data Structures</v>
      </c>
      <c r="F42">
        <f>VLOOKUP(D42,Combined!$C$1:$J$501,8,FALSE)</f>
        <v>3</v>
      </c>
      <c r="I42" t="s">
        <v>132</v>
      </c>
      <c r="J42">
        <v>1</v>
      </c>
      <c r="N42" t="s">
        <v>528</v>
      </c>
      <c r="O42">
        <v>3</v>
      </c>
    </row>
    <row r="43" spans="1:15">
      <c r="A43" s="8" t="s">
        <v>360</v>
      </c>
      <c r="B43" s="7" t="str">
        <f>VLOOKUP(A43,Combined!$A$1:$C$501,2,FALSE)</f>
        <v>S006</v>
      </c>
      <c r="C43" s="7" t="s">
        <v>20</v>
      </c>
      <c r="D43" s="7" t="str">
        <f>VLOOKUP(A43,Combined!$A$1:$C$501,3,FALSE)</f>
        <v>C006</v>
      </c>
      <c r="E43" t="str">
        <f>VLOOKUP(D43,Combined!$C$1:$H$501,6,FALSE)</f>
        <v>Fluid Mechanics</v>
      </c>
      <c r="F43">
        <f>VLOOKUP(D43,Combined!$C$1:$J$501,8,FALSE)</f>
        <v>4</v>
      </c>
      <c r="I43" t="s">
        <v>138</v>
      </c>
      <c r="J43">
        <v>4</v>
      </c>
      <c r="N43" t="s">
        <v>577</v>
      </c>
      <c r="O43">
        <v>3</v>
      </c>
    </row>
    <row r="44" spans="1:15">
      <c r="A44" s="9" t="s">
        <v>465</v>
      </c>
      <c r="B44" s="7" t="str">
        <f>VLOOKUP(A44,Combined!$A$1:$C$501,2,FALSE)</f>
        <v>S006</v>
      </c>
      <c r="C44" s="7" t="s">
        <v>20</v>
      </c>
      <c r="D44" s="7" t="str">
        <f>VLOOKUP(A44,Combined!$A$1:$C$501,3,FALSE)</f>
        <v>C004</v>
      </c>
      <c r="E44" t="str">
        <f>VLOOKUP(D44,Combined!$C$1:$H$501,6,FALSE)</f>
        <v>Circuits</v>
      </c>
      <c r="F44">
        <f>VLOOKUP(D44,Combined!$C$1:$J$501,8,FALSE)</f>
        <v>4</v>
      </c>
      <c r="H44" t="s">
        <v>75</v>
      </c>
      <c r="J44">
        <v>4</v>
      </c>
      <c r="M44" t="s">
        <v>16</v>
      </c>
      <c r="O44">
        <v>3</v>
      </c>
    </row>
    <row r="45" spans="1:15">
      <c r="A45" s="8" t="s">
        <v>498</v>
      </c>
      <c r="B45" s="7" t="str">
        <f>VLOOKUP(A45,Combined!$A$1:$C$501,2,FALSE)</f>
        <v>S006</v>
      </c>
      <c r="C45" s="7" t="s">
        <v>20</v>
      </c>
      <c r="D45" s="7" t="str">
        <f>VLOOKUP(A45,Combined!$A$1:$C$501,3,FALSE)</f>
        <v>C004</v>
      </c>
      <c r="E45" t="str">
        <f>VLOOKUP(D45,Combined!$C$1:$H$501,6,FALSE)</f>
        <v>Circuits</v>
      </c>
      <c r="F45">
        <f>VLOOKUP(D45,Combined!$C$1:$J$501,8,FALSE)</f>
        <v>4</v>
      </c>
      <c r="I45" t="s">
        <v>132</v>
      </c>
      <c r="J45">
        <v>1</v>
      </c>
      <c r="N45" t="s">
        <v>705</v>
      </c>
      <c r="O45">
        <v>3</v>
      </c>
    </row>
    <row r="46" spans="1:15">
      <c r="A46" s="9" t="s">
        <v>517</v>
      </c>
      <c r="B46" s="7" t="str">
        <f>VLOOKUP(A46,Combined!$A$1:$C$501,2,FALSE)</f>
        <v>S006</v>
      </c>
      <c r="C46" s="7" t="s">
        <v>20</v>
      </c>
      <c r="D46" s="7" t="str">
        <f>VLOOKUP(A46,Combined!$A$1:$C$501,3,FALSE)</f>
        <v>C007</v>
      </c>
      <c r="E46" t="str">
        <f>VLOOKUP(D46,Combined!$C$1:$H$501,6,FALSE)</f>
        <v>Digital Logic</v>
      </c>
      <c r="F46">
        <f>VLOOKUP(D46,Combined!$C$1:$J$501,8,FALSE)</f>
        <v>3</v>
      </c>
      <c r="I46" t="s">
        <v>138</v>
      </c>
      <c r="J46">
        <v>3</v>
      </c>
      <c r="M46" t="s">
        <v>19</v>
      </c>
      <c r="O46">
        <v>45</v>
      </c>
    </row>
    <row r="47" spans="1:15">
      <c r="A47" s="9" t="s">
        <v>549</v>
      </c>
      <c r="B47" s="7" t="str">
        <f>VLOOKUP(A47,Combined!$A$1:$C$501,2,FALSE)</f>
        <v>S006</v>
      </c>
      <c r="C47" s="7" t="s">
        <v>20</v>
      </c>
      <c r="D47" s="7" t="str">
        <f>VLOOKUP(A47,Combined!$A$1:$C$501,3,FALSE)</f>
        <v>C006</v>
      </c>
      <c r="E47" t="str">
        <f>VLOOKUP(D47,Combined!$C$1:$H$501,6,FALSE)</f>
        <v>Fluid Mechanics</v>
      </c>
      <c r="F47">
        <f>VLOOKUP(D47,Combined!$C$1:$J$501,8,FALSE)</f>
        <v>4</v>
      </c>
      <c r="H47" t="s">
        <v>31</v>
      </c>
      <c r="J47">
        <v>9</v>
      </c>
      <c r="N47" t="s">
        <v>219</v>
      </c>
      <c r="O47">
        <v>3</v>
      </c>
    </row>
    <row r="48" spans="1:15">
      <c r="A48" s="9" t="s">
        <v>567</v>
      </c>
      <c r="B48" s="7" t="str">
        <f>VLOOKUP(A48,Combined!$A$1:$C$501,2,FALSE)</f>
        <v>S006</v>
      </c>
      <c r="C48" s="7" t="s">
        <v>20</v>
      </c>
      <c r="D48" s="7" t="str">
        <f>VLOOKUP(A48,Combined!$A$1:$C$501,3,FALSE)</f>
        <v>C006</v>
      </c>
      <c r="E48" t="str">
        <f>VLOOKUP(D48,Combined!$C$1:$H$501,6,FALSE)</f>
        <v>Fluid Mechanics</v>
      </c>
      <c r="F48">
        <f>VLOOKUP(D48,Combined!$C$1:$J$501,8,FALSE)</f>
        <v>4</v>
      </c>
      <c r="I48" t="s">
        <v>132</v>
      </c>
      <c r="J48">
        <v>5</v>
      </c>
      <c r="N48" t="s">
        <v>303</v>
      </c>
      <c r="O48">
        <v>3</v>
      </c>
    </row>
    <row r="49" spans="1:15">
      <c r="A49" s="9" t="s">
        <v>603</v>
      </c>
      <c r="B49" s="7" t="str">
        <f>VLOOKUP(A49,Combined!$A$1:$C$501,2,FALSE)</f>
        <v>S006</v>
      </c>
      <c r="C49" s="7" t="s">
        <v>20</v>
      </c>
      <c r="D49" s="7" t="str">
        <f>VLOOKUP(A49,Combined!$A$1:$C$501,3,FALSE)</f>
        <v>C010</v>
      </c>
      <c r="E49" t="str">
        <f>VLOOKUP(D49,Combined!$C$1:$H$501,6,FALSE)</f>
        <v>Finance</v>
      </c>
      <c r="F49">
        <f>VLOOKUP(D49,Combined!$C$1:$J$501,8,FALSE)</f>
        <v>4</v>
      </c>
      <c r="I49" t="s">
        <v>138</v>
      </c>
      <c r="J49">
        <v>4</v>
      </c>
      <c r="N49" t="s">
        <v>360</v>
      </c>
      <c r="O49">
        <v>4</v>
      </c>
    </row>
    <row r="50" spans="1:15">
      <c r="A50" s="9" t="s">
        <v>625</v>
      </c>
      <c r="B50" s="7" t="str">
        <f>VLOOKUP(A50,Combined!$A$1:$C$501,2,FALSE)</f>
        <v>S006</v>
      </c>
      <c r="C50" s="7" t="s">
        <v>20</v>
      </c>
      <c r="D50" s="7" t="str">
        <f>VLOOKUP(A50,Combined!$A$1:$C$501,3,FALSE)</f>
        <v>C007</v>
      </c>
      <c r="E50" t="str">
        <f>VLOOKUP(D50,Combined!$C$1:$H$501,6,FALSE)</f>
        <v>Digital Logic</v>
      </c>
      <c r="F50">
        <f>VLOOKUP(D50,Combined!$C$1:$J$501,8,FALSE)</f>
        <v>3</v>
      </c>
      <c r="H50" t="s">
        <v>22</v>
      </c>
      <c r="J50">
        <v>8</v>
      </c>
      <c r="N50" t="s">
        <v>465</v>
      </c>
      <c r="O50">
        <v>4</v>
      </c>
    </row>
    <row r="51" spans="1:15">
      <c r="A51" s="8" t="s">
        <v>632</v>
      </c>
      <c r="B51" s="7" t="str">
        <f>VLOOKUP(A51,Combined!$A$1:$C$501,2,FALSE)</f>
        <v>S006</v>
      </c>
      <c r="C51" s="7" t="s">
        <v>20</v>
      </c>
      <c r="D51" s="7" t="str">
        <f>VLOOKUP(A51,Combined!$A$1:$C$501,3,FALSE)</f>
        <v>C001</v>
      </c>
      <c r="E51" t="str">
        <f>VLOOKUP(D51,Combined!$C$1:$H$501,6,FALSE)</f>
        <v>Data Structures</v>
      </c>
      <c r="F51">
        <f>VLOOKUP(D51,Combined!$C$1:$J$501,8,FALSE)</f>
        <v>3</v>
      </c>
      <c r="I51" t="s">
        <v>132</v>
      </c>
      <c r="J51">
        <v>6</v>
      </c>
      <c r="N51" t="s">
        <v>498</v>
      </c>
      <c r="O51">
        <v>4</v>
      </c>
    </row>
    <row r="52" spans="1:15">
      <c r="A52" s="8" t="s">
        <v>658</v>
      </c>
      <c r="B52" s="7" t="str">
        <f>VLOOKUP(A52,Combined!$A$1:$C$501,2,FALSE)</f>
        <v>S006</v>
      </c>
      <c r="C52" s="7" t="s">
        <v>20</v>
      </c>
      <c r="D52" s="7" t="str">
        <f>VLOOKUP(A52,Combined!$A$1:$C$501,3,FALSE)</f>
        <v>C005</v>
      </c>
      <c r="E52" t="str">
        <f>VLOOKUP(D52,Combined!$C$1:$H$501,6,FALSE)</f>
        <v>AI &amp; ML</v>
      </c>
      <c r="F52">
        <f>VLOOKUP(D52,Combined!$C$1:$J$501,8,FALSE)</f>
        <v>3</v>
      </c>
      <c r="I52" t="s">
        <v>138</v>
      </c>
      <c r="J52">
        <v>2</v>
      </c>
      <c r="N52" t="s">
        <v>517</v>
      </c>
      <c r="O52">
        <v>3</v>
      </c>
    </row>
    <row r="53" spans="1:15">
      <c r="A53" s="9" t="s">
        <v>703</v>
      </c>
      <c r="B53" s="7" t="str">
        <f>VLOOKUP(A53,Combined!$A$1:$C$501,2,FALSE)</f>
        <v>S006</v>
      </c>
      <c r="C53" s="7" t="s">
        <v>20</v>
      </c>
      <c r="D53" s="7" t="str">
        <f>VLOOKUP(A53,Combined!$A$1:$C$501,3,FALSE)</f>
        <v>C007</v>
      </c>
      <c r="E53" t="str">
        <f>VLOOKUP(D53,Combined!$C$1:$H$501,6,FALSE)</f>
        <v>Digital Logic</v>
      </c>
      <c r="F53">
        <f>VLOOKUP(D53,Combined!$C$1:$J$501,8,FALSE)</f>
        <v>3</v>
      </c>
      <c r="H53" t="s">
        <v>20</v>
      </c>
      <c r="J53">
        <v>8</v>
      </c>
      <c r="N53" t="s">
        <v>549</v>
      </c>
      <c r="O53">
        <v>4</v>
      </c>
    </row>
    <row r="54" spans="1:15">
      <c r="A54" s="9" t="s">
        <v>307</v>
      </c>
      <c r="B54" s="7" t="str">
        <f>VLOOKUP(A54,Combined!$A$1:$C$501,2,FALSE)</f>
        <v>S007</v>
      </c>
      <c r="C54" s="7" t="s">
        <v>22</v>
      </c>
      <c r="D54" s="7" t="str">
        <f>VLOOKUP(A54,Combined!$A$1:$C$501,3,FALSE)</f>
        <v>C005</v>
      </c>
      <c r="E54" t="str">
        <f>VLOOKUP(D54,Combined!$C$1:$H$501,6,FALSE)</f>
        <v>AI &amp; ML</v>
      </c>
      <c r="F54">
        <f>VLOOKUP(D54,Combined!$C$1:$J$501,8,FALSE)</f>
        <v>3</v>
      </c>
      <c r="I54" t="s">
        <v>132</v>
      </c>
      <c r="J54">
        <v>2</v>
      </c>
      <c r="N54" t="s">
        <v>567</v>
      </c>
      <c r="O54">
        <v>4</v>
      </c>
    </row>
    <row r="55" spans="1:15">
      <c r="A55" s="8" t="s">
        <v>342</v>
      </c>
      <c r="B55" s="7" t="str">
        <f>VLOOKUP(A55,Combined!$A$1:$C$501,2,FALSE)</f>
        <v>S007</v>
      </c>
      <c r="C55" s="7" t="s">
        <v>22</v>
      </c>
      <c r="D55" s="7" t="str">
        <f>VLOOKUP(A55,Combined!$A$1:$C$501,3,FALSE)</f>
        <v>C004</v>
      </c>
      <c r="E55" t="str">
        <f>VLOOKUP(D55,Combined!$C$1:$H$501,6,FALSE)</f>
        <v>Circuits</v>
      </c>
      <c r="F55">
        <f>VLOOKUP(D55,Combined!$C$1:$J$501,8,FALSE)</f>
        <v>4</v>
      </c>
      <c r="I55" t="s">
        <v>138</v>
      </c>
      <c r="J55">
        <v>6</v>
      </c>
      <c r="N55" t="s">
        <v>603</v>
      </c>
      <c r="O55">
        <v>4</v>
      </c>
    </row>
    <row r="56" spans="1:15">
      <c r="A56" s="9" t="s">
        <v>459</v>
      </c>
      <c r="B56" s="7" t="str">
        <f>VLOOKUP(A56,Combined!$A$1:$C$501,2,FALSE)</f>
        <v>S007</v>
      </c>
      <c r="C56" s="7" t="s">
        <v>22</v>
      </c>
      <c r="D56" s="7" t="str">
        <f>VLOOKUP(A56,Combined!$A$1:$C$501,3,FALSE)</f>
        <v>C003</v>
      </c>
      <c r="E56" t="str">
        <f>VLOOKUP(D56,Combined!$C$1:$H$501,6,FALSE)</f>
        <v>Thermodynamics</v>
      </c>
      <c r="F56">
        <f>VLOOKUP(D56,Combined!$C$1:$J$501,8,FALSE)</f>
        <v>3</v>
      </c>
      <c r="H56" t="s">
        <v>10</v>
      </c>
      <c r="J56">
        <v>6</v>
      </c>
      <c r="N56" t="s">
        <v>625</v>
      </c>
      <c r="O56">
        <v>3</v>
      </c>
    </row>
    <row r="57" spans="1:15">
      <c r="A57" s="9" t="s">
        <v>621</v>
      </c>
      <c r="B57" s="7" t="str">
        <f>VLOOKUP(A57,Combined!$A$1:$C$501,2,FALSE)</f>
        <v>S007</v>
      </c>
      <c r="C57" s="7" t="s">
        <v>22</v>
      </c>
      <c r="D57" s="7" t="str">
        <f>VLOOKUP(A57,Combined!$A$1:$C$501,3,FALSE)</f>
        <v>C001</v>
      </c>
      <c r="E57" t="str">
        <f>VLOOKUP(D57,Combined!$C$1:$H$501,6,FALSE)</f>
        <v>Data Structures</v>
      </c>
      <c r="F57">
        <f>VLOOKUP(D57,Combined!$C$1:$J$501,8,FALSE)</f>
        <v>3</v>
      </c>
      <c r="I57" t="s">
        <v>132</v>
      </c>
      <c r="J57">
        <v>2</v>
      </c>
      <c r="N57" t="s">
        <v>632</v>
      </c>
      <c r="O57">
        <v>3</v>
      </c>
    </row>
    <row r="58" spans="1:15">
      <c r="A58" s="9" t="s">
        <v>413</v>
      </c>
      <c r="B58" s="7" t="str">
        <f>VLOOKUP(A58,Combined!$A$1:$C$501,2,FALSE)</f>
        <v>S008</v>
      </c>
      <c r="C58" s="7" t="s">
        <v>25</v>
      </c>
      <c r="D58" s="7" t="str">
        <f>VLOOKUP(A58,Combined!$A$1:$C$501,3,FALSE)</f>
        <v>C007</v>
      </c>
      <c r="E58" t="str">
        <f>VLOOKUP(D58,Combined!$C$1:$H$501,6,FALSE)</f>
        <v>Digital Logic</v>
      </c>
      <c r="F58">
        <f>VLOOKUP(D58,Combined!$C$1:$J$501,8,FALSE)</f>
        <v>3</v>
      </c>
      <c r="I58" t="s">
        <v>138</v>
      </c>
      <c r="J58">
        <v>4</v>
      </c>
      <c r="N58" t="s">
        <v>658</v>
      </c>
      <c r="O58">
        <v>3</v>
      </c>
    </row>
    <row r="59" spans="1:15">
      <c r="A59" s="8" t="s">
        <v>496</v>
      </c>
      <c r="B59" s="7" t="str">
        <f>VLOOKUP(A59,Combined!$A$1:$C$501,2,FALSE)</f>
        <v>S008</v>
      </c>
      <c r="C59" s="7" t="s">
        <v>25</v>
      </c>
      <c r="D59" s="7" t="str">
        <f>VLOOKUP(A59,Combined!$A$1:$C$501,3,FALSE)</f>
        <v>C008</v>
      </c>
      <c r="E59" t="str">
        <f>VLOOKUP(D59,Combined!$C$1:$H$501,6,FALSE)</f>
        <v>Structural Analysis</v>
      </c>
      <c r="F59">
        <f>VLOOKUP(D59,Combined!$C$1:$J$501,8,FALSE)</f>
        <v>4</v>
      </c>
      <c r="H59" t="s">
        <v>37</v>
      </c>
      <c r="J59">
        <v>7</v>
      </c>
      <c r="N59" t="s">
        <v>703</v>
      </c>
      <c r="O59">
        <v>3</v>
      </c>
    </row>
    <row r="60" spans="1:15">
      <c r="A60" s="9" t="s">
        <v>249</v>
      </c>
      <c r="B60" s="7" t="str">
        <f>VLOOKUP(A60,Combined!$A$1:$C$501,2,FALSE)</f>
        <v>S009</v>
      </c>
      <c r="C60" s="7" t="s">
        <v>28</v>
      </c>
      <c r="D60" s="7" t="str">
        <f>VLOOKUP(A60,Combined!$A$1:$C$501,3,FALSE)</f>
        <v>C007</v>
      </c>
      <c r="E60" t="str">
        <f>VLOOKUP(D60,Combined!$C$1:$H$501,6,FALSE)</f>
        <v>Digital Logic</v>
      </c>
      <c r="F60">
        <f>VLOOKUP(D60,Combined!$C$1:$J$501,8,FALSE)</f>
        <v>3</v>
      </c>
      <c r="I60" t="s">
        <v>132</v>
      </c>
      <c r="J60">
        <v>3</v>
      </c>
      <c r="M60" t="s">
        <v>21</v>
      </c>
      <c r="O60">
        <v>13</v>
      </c>
    </row>
    <row r="61" spans="1:15">
      <c r="A61" s="8" t="s">
        <v>308</v>
      </c>
      <c r="B61" s="7" t="str">
        <f>VLOOKUP(A61,Combined!$A$1:$C$501,2,FALSE)</f>
        <v>S009</v>
      </c>
      <c r="C61" s="7" t="s">
        <v>28</v>
      </c>
      <c r="D61" s="7" t="str">
        <f>VLOOKUP(A61,Combined!$A$1:$C$501,3,FALSE)</f>
        <v>C007</v>
      </c>
      <c r="E61" t="str">
        <f>VLOOKUP(D61,Combined!$C$1:$H$501,6,FALSE)</f>
        <v>Digital Logic</v>
      </c>
      <c r="F61">
        <f>VLOOKUP(D61,Combined!$C$1:$J$501,8,FALSE)</f>
        <v>3</v>
      </c>
      <c r="I61" t="s">
        <v>138</v>
      </c>
      <c r="J61">
        <v>4</v>
      </c>
      <c r="N61" t="s">
        <v>307</v>
      </c>
      <c r="O61">
        <v>3</v>
      </c>
    </row>
    <row r="62" spans="1:15">
      <c r="A62" s="9" t="s">
        <v>353</v>
      </c>
      <c r="B62" s="7" t="str">
        <f>VLOOKUP(A62,Combined!$A$1:$C$501,2,FALSE)</f>
        <v>S009</v>
      </c>
      <c r="C62" s="7" t="s">
        <v>28</v>
      </c>
      <c r="D62" s="7" t="str">
        <f>VLOOKUP(A62,Combined!$A$1:$C$501,3,FALSE)</f>
        <v>C005</v>
      </c>
      <c r="E62" t="str">
        <f>VLOOKUP(D62,Combined!$C$1:$H$501,6,FALSE)</f>
        <v>AI &amp; ML</v>
      </c>
      <c r="F62">
        <f>VLOOKUP(D62,Combined!$C$1:$J$501,8,FALSE)</f>
        <v>3</v>
      </c>
      <c r="H62" t="s">
        <v>718</v>
      </c>
      <c r="J62">
        <v>95</v>
      </c>
      <c r="N62" t="s">
        <v>342</v>
      </c>
      <c r="O62">
        <v>4</v>
      </c>
    </row>
    <row r="63" spans="1:15">
      <c r="A63" s="9" t="s">
        <v>417</v>
      </c>
      <c r="B63" s="7" t="str">
        <f>VLOOKUP(A63,Combined!$A$1:$C$501,2,FALSE)</f>
        <v>S009</v>
      </c>
      <c r="C63" s="7" t="s">
        <v>28</v>
      </c>
      <c r="D63" s="7" t="str">
        <f>VLOOKUP(A63,Combined!$A$1:$C$501,3,FALSE)</f>
        <v>C009</v>
      </c>
      <c r="E63" t="str">
        <f>VLOOKUP(D63,Combined!$C$1:$H$501,6,FALSE)</f>
        <v>Marketing</v>
      </c>
      <c r="F63">
        <f>VLOOKUP(D63,Combined!$C$1:$J$501,8,FALSE)</f>
        <v>3</v>
      </c>
      <c r="N63" t="s">
        <v>459</v>
      </c>
      <c r="O63">
        <v>3</v>
      </c>
    </row>
    <row r="64" spans="1:15">
      <c r="A64" s="9" t="s">
        <v>455</v>
      </c>
      <c r="B64" s="7" t="str">
        <f>VLOOKUP(A64,Combined!$A$1:$C$501,2,FALSE)</f>
        <v>S009</v>
      </c>
      <c r="C64" s="7" t="s">
        <v>28</v>
      </c>
      <c r="D64" s="7" t="str">
        <f>VLOOKUP(A64,Combined!$A$1:$C$501,3,FALSE)</f>
        <v>C003</v>
      </c>
      <c r="E64" t="str">
        <f>VLOOKUP(D64,Combined!$C$1:$H$501,6,FALSE)</f>
        <v>Thermodynamics</v>
      </c>
      <c r="F64">
        <f>VLOOKUP(D64,Combined!$C$1:$J$501,8,FALSE)</f>
        <v>3</v>
      </c>
      <c r="N64" t="s">
        <v>621</v>
      </c>
      <c r="O64">
        <v>3</v>
      </c>
    </row>
    <row r="65" spans="1:15">
      <c r="A65" s="8" t="s">
        <v>488</v>
      </c>
      <c r="B65" s="7" t="str">
        <f>VLOOKUP(A65,Combined!$A$1:$C$501,2,FALSE)</f>
        <v>S009</v>
      </c>
      <c r="C65" s="7" t="s">
        <v>28</v>
      </c>
      <c r="D65" s="7" t="str">
        <f>VLOOKUP(A65,Combined!$A$1:$C$501,3,FALSE)</f>
        <v>C008</v>
      </c>
      <c r="E65" t="str">
        <f>VLOOKUP(D65,Combined!$C$1:$H$501,6,FALSE)</f>
        <v>Structural Analysis</v>
      </c>
      <c r="F65">
        <f>VLOOKUP(D65,Combined!$C$1:$J$501,8,FALSE)</f>
        <v>4</v>
      </c>
      <c r="M65" t="s">
        <v>24</v>
      </c>
      <c r="O65">
        <v>7</v>
      </c>
    </row>
    <row r="66" spans="1:15">
      <c r="A66" s="9" t="s">
        <v>547</v>
      </c>
      <c r="B66" s="7" t="str">
        <f>VLOOKUP(A66,Combined!$A$1:$C$501,2,FALSE)</f>
        <v>S009</v>
      </c>
      <c r="C66" s="7" t="s">
        <v>28</v>
      </c>
      <c r="D66" s="7" t="str">
        <f>VLOOKUP(A66,Combined!$A$1:$C$501,3,FALSE)</f>
        <v>C006</v>
      </c>
      <c r="E66" t="str">
        <f>VLOOKUP(D66,Combined!$C$1:$H$501,6,FALSE)</f>
        <v>Fluid Mechanics</v>
      </c>
      <c r="F66">
        <f>VLOOKUP(D66,Combined!$C$1:$J$501,8,FALSE)</f>
        <v>4</v>
      </c>
      <c r="N66" t="s">
        <v>413</v>
      </c>
      <c r="O66">
        <v>3</v>
      </c>
    </row>
    <row r="67" spans="1:15">
      <c r="A67" s="9" t="s">
        <v>589</v>
      </c>
      <c r="B67" s="7" t="str">
        <f>VLOOKUP(A67,Combined!$A$1:$C$501,2,FALSE)</f>
        <v>S009</v>
      </c>
      <c r="C67" s="7" t="s">
        <v>28</v>
      </c>
      <c r="D67" s="7" t="str">
        <f>VLOOKUP(A67,Combined!$A$1:$C$501,3,FALSE)</f>
        <v>C005</v>
      </c>
      <c r="E67" t="str">
        <f>VLOOKUP(D67,Combined!$C$1:$H$501,6,FALSE)</f>
        <v>AI &amp; ML</v>
      </c>
      <c r="F67">
        <f>VLOOKUP(D67,Combined!$C$1:$J$501,8,FALSE)</f>
        <v>3</v>
      </c>
      <c r="N67" t="s">
        <v>496</v>
      </c>
      <c r="O67">
        <v>4</v>
      </c>
    </row>
    <row r="68" spans="1:15">
      <c r="A68" s="8" t="s">
        <v>324</v>
      </c>
      <c r="B68" s="7" t="str">
        <f>VLOOKUP(A68,Combined!$A$1:$C$501,2,FALSE)</f>
        <v>S010</v>
      </c>
      <c r="C68" s="7" t="s">
        <v>20</v>
      </c>
      <c r="D68" s="7" t="str">
        <f>VLOOKUP(A68,Combined!$A$1:$C$501,3,FALSE)</f>
        <v>C001</v>
      </c>
      <c r="E68" t="str">
        <f>VLOOKUP(D68,Combined!$C$1:$H$501,6,FALSE)</f>
        <v>Data Structures</v>
      </c>
      <c r="F68">
        <f>VLOOKUP(D68,Combined!$C$1:$J$501,8,FALSE)</f>
        <v>3</v>
      </c>
      <c r="M68" t="s">
        <v>27</v>
      </c>
      <c r="O68">
        <v>26</v>
      </c>
    </row>
    <row r="69" spans="1:15">
      <c r="A69" s="9" t="s">
        <v>365</v>
      </c>
      <c r="B69" s="7" t="str">
        <f>VLOOKUP(A69,Combined!$A$1:$C$501,2,FALSE)</f>
        <v>S010</v>
      </c>
      <c r="C69" s="7" t="s">
        <v>20</v>
      </c>
      <c r="D69" s="7" t="str">
        <f>VLOOKUP(A69,Combined!$A$1:$C$501,3,FALSE)</f>
        <v>C008</v>
      </c>
      <c r="E69" t="str">
        <f>VLOOKUP(D69,Combined!$C$1:$H$501,6,FALSE)</f>
        <v>Structural Analysis</v>
      </c>
      <c r="F69">
        <f>VLOOKUP(D69,Combined!$C$1:$J$501,8,FALSE)</f>
        <v>4</v>
      </c>
      <c r="N69" t="s">
        <v>249</v>
      </c>
      <c r="O69">
        <v>3</v>
      </c>
    </row>
    <row r="70" spans="1:15">
      <c r="A70" s="9" t="s">
        <v>397</v>
      </c>
      <c r="B70" s="7" t="str">
        <f>VLOOKUP(A70,Combined!$A$1:$C$501,2,FALSE)</f>
        <v>S010</v>
      </c>
      <c r="C70" s="7" t="s">
        <v>20</v>
      </c>
      <c r="D70" s="7" t="str">
        <f>VLOOKUP(A70,Combined!$A$1:$C$501,3,FALSE)</f>
        <v>C003</v>
      </c>
      <c r="E70" t="str">
        <f>VLOOKUP(D70,Combined!$C$1:$H$501,6,FALSE)</f>
        <v>Thermodynamics</v>
      </c>
      <c r="F70">
        <f>VLOOKUP(D70,Combined!$C$1:$J$501,8,FALSE)</f>
        <v>3</v>
      </c>
      <c r="N70" t="s">
        <v>308</v>
      </c>
      <c r="O70">
        <v>3</v>
      </c>
    </row>
    <row r="71" spans="1:15">
      <c r="A71" s="9" t="s">
        <v>471</v>
      </c>
      <c r="B71" s="7" t="str">
        <f>VLOOKUP(A71,Combined!$A$1:$C$501,2,FALSE)</f>
        <v>S010</v>
      </c>
      <c r="C71" s="7" t="s">
        <v>20</v>
      </c>
      <c r="D71" s="7" t="str">
        <f>VLOOKUP(A71,Combined!$A$1:$C$501,3,FALSE)</f>
        <v>C007</v>
      </c>
      <c r="E71" t="str">
        <f>VLOOKUP(D71,Combined!$C$1:$H$501,6,FALSE)</f>
        <v>Digital Logic</v>
      </c>
      <c r="F71">
        <f>VLOOKUP(D71,Combined!$C$1:$J$501,8,FALSE)</f>
        <v>3</v>
      </c>
      <c r="N71" t="s">
        <v>353</v>
      </c>
      <c r="O71">
        <v>3</v>
      </c>
    </row>
    <row r="72" spans="1:15">
      <c r="A72" s="8" t="s">
        <v>694</v>
      </c>
      <c r="B72" s="7" t="str">
        <f>VLOOKUP(A72,Combined!$A$1:$C$501,2,FALSE)</f>
        <v>S010</v>
      </c>
      <c r="C72" s="7" t="s">
        <v>20</v>
      </c>
      <c r="D72" s="7" t="str">
        <f>VLOOKUP(A72,Combined!$A$1:$C$501,3,FALSE)</f>
        <v>C010</v>
      </c>
      <c r="E72" t="str">
        <f>VLOOKUP(D72,Combined!$C$1:$H$501,6,FALSE)</f>
        <v>Finance</v>
      </c>
      <c r="F72">
        <f>VLOOKUP(D72,Combined!$C$1:$J$501,8,FALSE)</f>
        <v>4</v>
      </c>
      <c r="N72" t="s">
        <v>417</v>
      </c>
      <c r="O72">
        <v>3</v>
      </c>
    </row>
    <row r="73" spans="1:15">
      <c r="A73" s="8" t="s">
        <v>260</v>
      </c>
      <c r="B73" s="7" t="str">
        <f>VLOOKUP(A73,Combined!$A$1:$C$501,2,FALSE)</f>
        <v>S011</v>
      </c>
      <c r="C73" s="7" t="s">
        <v>31</v>
      </c>
      <c r="D73" s="7" t="str">
        <f>VLOOKUP(A73,Combined!$A$1:$C$501,3,FALSE)</f>
        <v>C007</v>
      </c>
      <c r="E73" t="str">
        <f>VLOOKUP(D73,Combined!$C$1:$H$501,6,FALSE)</f>
        <v>Digital Logic</v>
      </c>
      <c r="F73">
        <f>VLOOKUP(D73,Combined!$C$1:$J$501,8,FALSE)</f>
        <v>3</v>
      </c>
      <c r="N73" t="s">
        <v>455</v>
      </c>
      <c r="O73">
        <v>3</v>
      </c>
    </row>
    <row r="74" spans="1:15">
      <c r="A74" s="8" t="s">
        <v>288</v>
      </c>
      <c r="B74" s="7" t="str">
        <f>VLOOKUP(A74,Combined!$A$1:$C$501,2,FALSE)</f>
        <v>S011</v>
      </c>
      <c r="C74" s="7" t="s">
        <v>31</v>
      </c>
      <c r="D74" s="7" t="str">
        <f>VLOOKUP(A74,Combined!$A$1:$C$501,3,FALSE)</f>
        <v>C004</v>
      </c>
      <c r="E74" t="str">
        <f>VLOOKUP(D74,Combined!$C$1:$H$501,6,FALSE)</f>
        <v>Circuits</v>
      </c>
      <c r="F74">
        <f>VLOOKUP(D74,Combined!$C$1:$J$501,8,FALSE)</f>
        <v>4</v>
      </c>
      <c r="N74" t="s">
        <v>488</v>
      </c>
      <c r="O74">
        <v>4</v>
      </c>
    </row>
    <row r="75" spans="1:15">
      <c r="A75" s="9" t="s">
        <v>441</v>
      </c>
      <c r="B75" s="7" t="str">
        <f>VLOOKUP(A75,Combined!$A$1:$C$501,2,FALSE)</f>
        <v>S011</v>
      </c>
      <c r="C75" s="7" t="s">
        <v>31</v>
      </c>
      <c r="D75" s="7" t="str">
        <f>VLOOKUP(A75,Combined!$A$1:$C$501,3,FALSE)</f>
        <v>C002</v>
      </c>
      <c r="E75" t="str">
        <f>VLOOKUP(D75,Combined!$C$1:$H$501,6,FALSE)</f>
        <v>DBMS</v>
      </c>
      <c r="F75">
        <f>VLOOKUP(D75,Combined!$C$1:$J$501,8,FALSE)</f>
        <v>4</v>
      </c>
      <c r="N75" t="s">
        <v>547</v>
      </c>
      <c r="O75">
        <v>4</v>
      </c>
    </row>
    <row r="76" spans="1:15">
      <c r="A76" s="9" t="s">
        <v>505</v>
      </c>
      <c r="B76" s="7" t="str">
        <f>VLOOKUP(A76,Combined!$A$1:$C$501,2,FALSE)</f>
        <v>S011</v>
      </c>
      <c r="C76" s="7" t="s">
        <v>31</v>
      </c>
      <c r="D76" s="7" t="str">
        <f>VLOOKUP(A76,Combined!$A$1:$C$501,3,FALSE)</f>
        <v>C010</v>
      </c>
      <c r="E76" t="str">
        <f>VLOOKUP(D76,Combined!$C$1:$H$501,6,FALSE)</f>
        <v>Finance</v>
      </c>
      <c r="F76">
        <f>VLOOKUP(D76,Combined!$C$1:$J$501,8,FALSE)</f>
        <v>4</v>
      </c>
      <c r="N76" t="s">
        <v>589</v>
      </c>
      <c r="O76">
        <v>3</v>
      </c>
    </row>
    <row r="77" spans="1:15">
      <c r="A77" s="8" t="s">
        <v>530</v>
      </c>
      <c r="B77" s="7" t="str">
        <f>VLOOKUP(A77,Combined!$A$1:$C$501,2,FALSE)</f>
        <v>S011</v>
      </c>
      <c r="C77" s="7" t="s">
        <v>31</v>
      </c>
      <c r="D77" s="7" t="str">
        <f>VLOOKUP(A77,Combined!$A$1:$C$501,3,FALSE)</f>
        <v>C006</v>
      </c>
      <c r="E77" t="str">
        <f>VLOOKUP(D77,Combined!$C$1:$H$501,6,FALSE)</f>
        <v>Fluid Mechanics</v>
      </c>
      <c r="F77">
        <f>VLOOKUP(D77,Combined!$C$1:$J$501,8,FALSE)</f>
        <v>4</v>
      </c>
      <c r="M77" t="s">
        <v>29</v>
      </c>
      <c r="O77">
        <v>17</v>
      </c>
    </row>
    <row r="78" spans="1:15">
      <c r="A78" s="8" t="s">
        <v>562</v>
      </c>
      <c r="B78" s="7" t="str">
        <f>VLOOKUP(A78,Combined!$A$1:$C$501,2,FALSE)</f>
        <v>S011</v>
      </c>
      <c r="C78" s="7" t="s">
        <v>31</v>
      </c>
      <c r="D78" s="7" t="str">
        <f>VLOOKUP(A78,Combined!$A$1:$C$501,3,FALSE)</f>
        <v>C007</v>
      </c>
      <c r="E78" t="str">
        <f>VLOOKUP(D78,Combined!$C$1:$H$501,6,FALSE)</f>
        <v>Digital Logic</v>
      </c>
      <c r="F78">
        <f>VLOOKUP(D78,Combined!$C$1:$J$501,8,FALSE)</f>
        <v>3</v>
      </c>
      <c r="N78" t="s">
        <v>324</v>
      </c>
      <c r="O78">
        <v>3</v>
      </c>
    </row>
    <row r="79" spans="1:15">
      <c r="A79" s="8" t="s">
        <v>564</v>
      </c>
      <c r="B79" s="7" t="str">
        <f>VLOOKUP(A79,Combined!$A$1:$C$501,2,FALSE)</f>
        <v>S011</v>
      </c>
      <c r="C79" s="7" t="s">
        <v>31</v>
      </c>
      <c r="D79" s="7" t="str">
        <f>VLOOKUP(A79,Combined!$A$1:$C$501,3,FALSE)</f>
        <v>C006</v>
      </c>
      <c r="E79" t="str">
        <f>VLOOKUP(D79,Combined!$C$1:$H$501,6,FALSE)</f>
        <v>Fluid Mechanics</v>
      </c>
      <c r="F79">
        <f>VLOOKUP(D79,Combined!$C$1:$J$501,8,FALSE)</f>
        <v>4</v>
      </c>
      <c r="N79" t="s">
        <v>365</v>
      </c>
      <c r="O79">
        <v>4</v>
      </c>
    </row>
    <row r="80" spans="1:15">
      <c r="A80" s="9" t="s">
        <v>231</v>
      </c>
      <c r="B80" s="7" t="str">
        <f>VLOOKUP(A80,Combined!$A$1:$C$501,2,FALSE)</f>
        <v>S012</v>
      </c>
      <c r="C80" s="7" t="s">
        <v>17</v>
      </c>
      <c r="D80" s="7" t="str">
        <f>VLOOKUP(A80,Combined!$A$1:$C$501,3,FALSE)</f>
        <v>C004</v>
      </c>
      <c r="E80" t="str">
        <f>VLOOKUP(D80,Combined!$C$1:$H$501,6,FALSE)</f>
        <v>Circuits</v>
      </c>
      <c r="F80">
        <f>VLOOKUP(D80,Combined!$C$1:$J$501,8,FALSE)</f>
        <v>4</v>
      </c>
      <c r="N80" t="s">
        <v>397</v>
      </c>
      <c r="O80">
        <v>3</v>
      </c>
    </row>
    <row r="81" spans="1:15">
      <c r="A81" s="9" t="s">
        <v>339</v>
      </c>
      <c r="B81" s="7" t="str">
        <f>VLOOKUP(A81,Combined!$A$1:$C$501,2,FALSE)</f>
        <v>S012</v>
      </c>
      <c r="C81" s="7" t="s">
        <v>17</v>
      </c>
      <c r="D81" s="7" t="str">
        <f>VLOOKUP(A81,Combined!$A$1:$C$501,3,FALSE)</f>
        <v>C006</v>
      </c>
      <c r="E81" t="str">
        <f>VLOOKUP(D81,Combined!$C$1:$H$501,6,FALSE)</f>
        <v>Fluid Mechanics</v>
      </c>
      <c r="F81">
        <f>VLOOKUP(D81,Combined!$C$1:$J$501,8,FALSE)</f>
        <v>4</v>
      </c>
      <c r="N81" t="s">
        <v>471</v>
      </c>
      <c r="O81">
        <v>3</v>
      </c>
    </row>
    <row r="82" spans="1:15">
      <c r="A82" s="8" t="s">
        <v>348</v>
      </c>
      <c r="B82" s="7" t="str">
        <f>VLOOKUP(A82,Combined!$A$1:$C$501,2,FALSE)</f>
        <v>S012</v>
      </c>
      <c r="C82" s="7" t="s">
        <v>17</v>
      </c>
      <c r="D82" s="7" t="str">
        <f>VLOOKUP(A82,Combined!$A$1:$C$501,3,FALSE)</f>
        <v>C004</v>
      </c>
      <c r="E82" t="str">
        <f>VLOOKUP(D82,Combined!$C$1:$H$501,6,FALSE)</f>
        <v>Circuits</v>
      </c>
      <c r="F82">
        <f>VLOOKUP(D82,Combined!$C$1:$J$501,8,FALSE)</f>
        <v>4</v>
      </c>
      <c r="N82" t="s">
        <v>694</v>
      </c>
      <c r="O82">
        <v>4</v>
      </c>
    </row>
    <row r="83" spans="1:15">
      <c r="A83" s="9" t="s">
        <v>527</v>
      </c>
      <c r="B83" s="7" t="str">
        <f>VLOOKUP(A83,Combined!$A$1:$C$501,2,FALSE)</f>
        <v>S012</v>
      </c>
      <c r="C83" s="7" t="s">
        <v>17</v>
      </c>
      <c r="D83" s="7" t="str">
        <f>VLOOKUP(A83,Combined!$A$1:$C$501,3,FALSE)</f>
        <v>C004</v>
      </c>
      <c r="E83" t="str">
        <f>VLOOKUP(D83,Combined!$C$1:$H$501,6,FALSE)</f>
        <v>Circuits</v>
      </c>
      <c r="F83">
        <f>VLOOKUP(D83,Combined!$C$1:$J$501,8,FALSE)</f>
        <v>4</v>
      </c>
      <c r="M83" t="s">
        <v>30</v>
      </c>
      <c r="O83">
        <v>26</v>
      </c>
    </row>
    <row r="84" spans="1:15">
      <c r="A84" s="9" t="s">
        <v>619</v>
      </c>
      <c r="B84" s="7" t="str">
        <f>VLOOKUP(A84,Combined!$A$1:$C$501,2,FALSE)</f>
        <v>S012</v>
      </c>
      <c r="C84" s="7" t="s">
        <v>17</v>
      </c>
      <c r="D84" s="7" t="str">
        <f>VLOOKUP(A84,Combined!$A$1:$C$501,3,FALSE)</f>
        <v>C007</v>
      </c>
      <c r="E84" t="str">
        <f>VLOOKUP(D84,Combined!$C$1:$H$501,6,FALSE)</f>
        <v>Digital Logic</v>
      </c>
      <c r="F84">
        <f>VLOOKUP(D84,Combined!$C$1:$J$501,8,FALSE)</f>
        <v>3</v>
      </c>
      <c r="N84" t="s">
        <v>260</v>
      </c>
      <c r="O84">
        <v>3</v>
      </c>
    </row>
    <row r="85" spans="1:15">
      <c r="A85" s="8" t="s">
        <v>698</v>
      </c>
      <c r="B85" s="7" t="str">
        <f>VLOOKUP(A85,Combined!$A$1:$C$501,2,FALSE)</f>
        <v>S012</v>
      </c>
      <c r="C85" s="7" t="s">
        <v>17</v>
      </c>
      <c r="D85" s="7" t="str">
        <f>VLOOKUP(A85,Combined!$A$1:$C$501,3,FALSE)</f>
        <v>C009</v>
      </c>
      <c r="E85" t="str">
        <f>VLOOKUP(D85,Combined!$C$1:$H$501,6,FALSE)</f>
        <v>Marketing</v>
      </c>
      <c r="F85">
        <f>VLOOKUP(D85,Combined!$C$1:$J$501,8,FALSE)</f>
        <v>3</v>
      </c>
      <c r="N85" t="s">
        <v>288</v>
      </c>
      <c r="O85">
        <v>4</v>
      </c>
    </row>
    <row r="86" spans="1:15">
      <c r="A86" s="8" t="s">
        <v>300</v>
      </c>
      <c r="B86" s="7" t="str">
        <f>VLOOKUP(A86,Combined!$A$1:$C$501,2,FALSE)</f>
        <v>S013</v>
      </c>
      <c r="C86" s="7" t="s">
        <v>17</v>
      </c>
      <c r="D86" s="7" t="str">
        <f>VLOOKUP(A86,Combined!$A$1:$C$501,3,FALSE)</f>
        <v>C004</v>
      </c>
      <c r="E86" t="str">
        <f>VLOOKUP(D86,Combined!$C$1:$H$501,6,FALSE)</f>
        <v>Circuits</v>
      </c>
      <c r="F86">
        <f>VLOOKUP(D86,Combined!$C$1:$J$501,8,FALSE)</f>
        <v>4</v>
      </c>
      <c r="N86" t="s">
        <v>441</v>
      </c>
      <c r="O86">
        <v>4</v>
      </c>
    </row>
    <row r="87" spans="1:15">
      <c r="A87" s="9" t="s">
        <v>363</v>
      </c>
      <c r="B87" s="7" t="str">
        <f>VLOOKUP(A87,Combined!$A$1:$C$501,2,FALSE)</f>
        <v>S013</v>
      </c>
      <c r="C87" s="7" t="s">
        <v>17</v>
      </c>
      <c r="D87" s="7" t="str">
        <f>VLOOKUP(A87,Combined!$A$1:$C$501,3,FALSE)</f>
        <v>C008</v>
      </c>
      <c r="E87" t="str">
        <f>VLOOKUP(D87,Combined!$C$1:$H$501,6,FALSE)</f>
        <v>Structural Analysis</v>
      </c>
      <c r="F87">
        <f>VLOOKUP(D87,Combined!$C$1:$J$501,8,FALSE)</f>
        <v>4</v>
      </c>
      <c r="N87" t="s">
        <v>505</v>
      </c>
      <c r="O87">
        <v>4</v>
      </c>
    </row>
    <row r="88" spans="1:15">
      <c r="A88" s="8" t="s">
        <v>412</v>
      </c>
      <c r="B88" s="7" t="str">
        <f>VLOOKUP(A88,Combined!$A$1:$C$501,2,FALSE)</f>
        <v>S013</v>
      </c>
      <c r="C88" s="7" t="s">
        <v>17</v>
      </c>
      <c r="D88" s="7" t="str">
        <f>VLOOKUP(A88,Combined!$A$1:$C$501,3,FALSE)</f>
        <v>C006</v>
      </c>
      <c r="E88" t="str">
        <f>VLOOKUP(D88,Combined!$C$1:$H$501,6,FALSE)</f>
        <v>Fluid Mechanics</v>
      </c>
      <c r="F88">
        <f>VLOOKUP(D88,Combined!$C$1:$J$501,8,FALSE)</f>
        <v>4</v>
      </c>
      <c r="N88" t="s">
        <v>530</v>
      </c>
      <c r="O88">
        <v>4</v>
      </c>
    </row>
    <row r="89" spans="1:15">
      <c r="A89" s="9" t="s">
        <v>435</v>
      </c>
      <c r="B89" s="7" t="str">
        <f>VLOOKUP(A89,Combined!$A$1:$C$501,2,FALSE)</f>
        <v>S013</v>
      </c>
      <c r="C89" s="7" t="s">
        <v>17</v>
      </c>
      <c r="D89" s="7" t="str">
        <f>VLOOKUP(A89,Combined!$A$1:$C$501,3,FALSE)</f>
        <v>C002</v>
      </c>
      <c r="E89" t="str">
        <f>VLOOKUP(D89,Combined!$C$1:$H$501,6,FALSE)</f>
        <v>DBMS</v>
      </c>
      <c r="F89">
        <f>VLOOKUP(D89,Combined!$C$1:$J$501,8,FALSE)</f>
        <v>4</v>
      </c>
      <c r="N89" t="s">
        <v>562</v>
      </c>
      <c r="O89">
        <v>3</v>
      </c>
    </row>
    <row r="90" spans="1:15">
      <c r="A90" s="9" t="s">
        <v>503</v>
      </c>
      <c r="B90" s="7" t="str">
        <f>VLOOKUP(A90,Combined!$A$1:$C$501,2,FALSE)</f>
        <v>S013</v>
      </c>
      <c r="C90" s="7" t="s">
        <v>17</v>
      </c>
      <c r="D90" s="7" t="str">
        <f>VLOOKUP(A90,Combined!$A$1:$C$501,3,FALSE)</f>
        <v>C009</v>
      </c>
      <c r="E90" t="str">
        <f>VLOOKUP(D90,Combined!$C$1:$H$501,6,FALSE)</f>
        <v>Marketing</v>
      </c>
      <c r="F90">
        <f>VLOOKUP(D90,Combined!$C$1:$J$501,8,FALSE)</f>
        <v>3</v>
      </c>
      <c r="N90" t="s">
        <v>564</v>
      </c>
      <c r="O90">
        <v>4</v>
      </c>
    </row>
    <row r="91" spans="1:15">
      <c r="A91" s="9" t="s">
        <v>513</v>
      </c>
      <c r="B91" s="7" t="str">
        <f>VLOOKUP(A91,Combined!$A$1:$C$501,2,FALSE)</f>
        <v>S013</v>
      </c>
      <c r="C91" s="7" t="s">
        <v>17</v>
      </c>
      <c r="D91" s="7" t="str">
        <f>VLOOKUP(A91,Combined!$A$1:$C$501,3,FALSE)</f>
        <v>C009</v>
      </c>
      <c r="E91" t="str">
        <f>VLOOKUP(D91,Combined!$C$1:$H$501,6,FALSE)</f>
        <v>Marketing</v>
      </c>
      <c r="F91">
        <f>VLOOKUP(D91,Combined!$C$1:$J$501,8,FALSE)</f>
        <v>3</v>
      </c>
      <c r="M91" t="s">
        <v>32</v>
      </c>
      <c r="O91">
        <v>22</v>
      </c>
    </row>
    <row r="92" spans="1:15">
      <c r="A92" s="8" t="s">
        <v>614</v>
      </c>
      <c r="B92" s="7" t="str">
        <f>VLOOKUP(A92,Combined!$A$1:$C$501,2,FALSE)</f>
        <v>S013</v>
      </c>
      <c r="C92" s="7" t="s">
        <v>17</v>
      </c>
      <c r="D92" s="7" t="str">
        <f>VLOOKUP(A92,Combined!$A$1:$C$501,3,FALSE)</f>
        <v>C001</v>
      </c>
      <c r="E92" t="str">
        <f>VLOOKUP(D92,Combined!$C$1:$H$501,6,FALSE)</f>
        <v>Data Structures</v>
      </c>
      <c r="F92">
        <f>VLOOKUP(D92,Combined!$C$1:$J$501,8,FALSE)</f>
        <v>3</v>
      </c>
      <c r="N92" t="s">
        <v>231</v>
      </c>
      <c r="O92">
        <v>4</v>
      </c>
    </row>
    <row r="93" spans="1:15">
      <c r="A93" s="9" t="s">
        <v>629</v>
      </c>
      <c r="B93" s="7" t="str">
        <f>VLOOKUP(A93,Combined!$A$1:$C$501,2,FALSE)</f>
        <v>S013</v>
      </c>
      <c r="C93" s="7" t="s">
        <v>17</v>
      </c>
      <c r="D93" s="7" t="str">
        <f>VLOOKUP(A93,Combined!$A$1:$C$501,3,FALSE)</f>
        <v>C007</v>
      </c>
      <c r="E93" t="str">
        <f>VLOOKUP(D93,Combined!$C$1:$H$501,6,FALSE)</f>
        <v>Digital Logic</v>
      </c>
      <c r="F93">
        <f>VLOOKUP(D93,Combined!$C$1:$J$501,8,FALSE)</f>
        <v>3</v>
      </c>
      <c r="N93" t="s">
        <v>339</v>
      </c>
      <c r="O93">
        <v>4</v>
      </c>
    </row>
    <row r="94" spans="1:15">
      <c r="A94" s="8" t="s">
        <v>274</v>
      </c>
      <c r="B94" s="7" t="str">
        <f>VLOOKUP(A94,Combined!$A$1:$C$501,2,FALSE)</f>
        <v>S014</v>
      </c>
      <c r="C94" s="7" t="s">
        <v>10</v>
      </c>
      <c r="D94" s="7" t="str">
        <f>VLOOKUP(A94,Combined!$A$1:$C$501,3,FALSE)</f>
        <v>C005</v>
      </c>
      <c r="E94" t="str">
        <f>VLOOKUP(D94,Combined!$C$1:$H$501,6,FALSE)</f>
        <v>AI &amp; ML</v>
      </c>
      <c r="F94">
        <f>VLOOKUP(D94,Combined!$C$1:$J$501,8,FALSE)</f>
        <v>3</v>
      </c>
      <c r="N94" t="s">
        <v>348</v>
      </c>
      <c r="O94">
        <v>4</v>
      </c>
    </row>
    <row r="95" spans="1:15">
      <c r="A95" s="8" t="s">
        <v>384</v>
      </c>
      <c r="B95" s="7" t="str">
        <f>VLOOKUP(A95,Combined!$A$1:$C$501,2,FALSE)</f>
        <v>S014</v>
      </c>
      <c r="C95" s="7" t="s">
        <v>10</v>
      </c>
      <c r="D95" s="7" t="str">
        <f>VLOOKUP(A95,Combined!$A$1:$C$501,3,FALSE)</f>
        <v>C004</v>
      </c>
      <c r="E95" t="str">
        <f>VLOOKUP(D95,Combined!$C$1:$H$501,6,FALSE)</f>
        <v>Circuits</v>
      </c>
      <c r="F95">
        <f>VLOOKUP(D95,Combined!$C$1:$J$501,8,FALSE)</f>
        <v>4</v>
      </c>
      <c r="N95" t="s">
        <v>527</v>
      </c>
      <c r="O95">
        <v>4</v>
      </c>
    </row>
    <row r="96" spans="1:15">
      <c r="A96" s="9" t="s">
        <v>623</v>
      </c>
      <c r="B96" s="7" t="str">
        <f>VLOOKUP(A96,Combined!$A$1:$C$501,2,FALSE)</f>
        <v>S014</v>
      </c>
      <c r="C96" s="7" t="s">
        <v>10</v>
      </c>
      <c r="D96" s="7" t="str">
        <f>VLOOKUP(A96,Combined!$A$1:$C$501,3,FALSE)</f>
        <v>C007</v>
      </c>
      <c r="E96" t="str">
        <f>VLOOKUP(D96,Combined!$C$1:$H$501,6,FALSE)</f>
        <v>Digital Logic</v>
      </c>
      <c r="F96">
        <f>VLOOKUP(D96,Combined!$C$1:$J$501,8,FALSE)</f>
        <v>3</v>
      </c>
      <c r="N96" t="s">
        <v>619</v>
      </c>
      <c r="O96">
        <v>3</v>
      </c>
    </row>
    <row r="97" spans="1:15">
      <c r="A97" s="8" t="s">
        <v>340</v>
      </c>
      <c r="B97" s="7" t="str">
        <f>VLOOKUP(A97,Combined!$A$1:$C$501,2,FALSE)</f>
        <v>S015</v>
      </c>
      <c r="C97" s="7" t="s">
        <v>28</v>
      </c>
      <c r="D97" s="7" t="str">
        <f>VLOOKUP(A97,Combined!$A$1:$C$501,3,FALSE)</f>
        <v>C007</v>
      </c>
      <c r="E97" t="str">
        <f>VLOOKUP(D97,Combined!$C$1:$H$501,6,FALSE)</f>
        <v>Digital Logic</v>
      </c>
      <c r="F97">
        <f>VLOOKUP(D97,Combined!$C$1:$J$501,8,FALSE)</f>
        <v>3</v>
      </c>
      <c r="N97" t="s">
        <v>698</v>
      </c>
      <c r="O97">
        <v>3</v>
      </c>
    </row>
    <row r="98" spans="1:15">
      <c r="A98" s="8" t="s">
        <v>536</v>
      </c>
      <c r="B98" s="7" t="str">
        <f>VLOOKUP(A98,Combined!$A$1:$C$501,2,FALSE)</f>
        <v>S015</v>
      </c>
      <c r="C98" s="7" t="s">
        <v>28</v>
      </c>
      <c r="D98" s="7" t="str">
        <f>VLOOKUP(A98,Combined!$A$1:$C$501,3,FALSE)</f>
        <v>C005</v>
      </c>
      <c r="E98" t="str">
        <f>VLOOKUP(D98,Combined!$C$1:$H$501,6,FALSE)</f>
        <v>AI &amp; ML</v>
      </c>
      <c r="F98">
        <f>VLOOKUP(D98,Combined!$C$1:$J$501,8,FALSE)</f>
        <v>3</v>
      </c>
      <c r="M98" t="s">
        <v>33</v>
      </c>
      <c r="O98">
        <v>28</v>
      </c>
    </row>
    <row r="99" spans="1:15">
      <c r="A99" s="9" t="s">
        <v>539</v>
      </c>
      <c r="B99" s="7" t="str">
        <f>VLOOKUP(A99,Combined!$A$1:$C$501,2,FALSE)</f>
        <v>S015</v>
      </c>
      <c r="C99" s="7" t="s">
        <v>28</v>
      </c>
      <c r="D99" s="7" t="str">
        <f>VLOOKUP(A99,Combined!$A$1:$C$501,3,FALSE)</f>
        <v>C008</v>
      </c>
      <c r="E99" t="str">
        <f>VLOOKUP(D99,Combined!$C$1:$H$501,6,FALSE)</f>
        <v>Structural Analysis</v>
      </c>
      <c r="F99">
        <f>VLOOKUP(D99,Combined!$C$1:$J$501,8,FALSE)</f>
        <v>4</v>
      </c>
      <c r="N99" t="s">
        <v>300</v>
      </c>
      <c r="O99">
        <v>4</v>
      </c>
    </row>
    <row r="100" spans="1:15">
      <c r="A100" s="9" t="s">
        <v>697</v>
      </c>
      <c r="B100" s="7" t="str">
        <f>VLOOKUP(A100,Combined!$A$1:$C$501,2,FALSE)</f>
        <v>S015</v>
      </c>
      <c r="C100" s="7" t="s">
        <v>28</v>
      </c>
      <c r="D100" s="7" t="str">
        <f>VLOOKUP(A100,Combined!$A$1:$C$501,3,FALSE)</f>
        <v>C004</v>
      </c>
      <c r="E100" t="str">
        <f>VLOOKUP(D100,Combined!$C$1:$H$501,6,FALSE)</f>
        <v>Circuits</v>
      </c>
      <c r="F100">
        <f>VLOOKUP(D100,Combined!$C$1:$J$501,8,FALSE)</f>
        <v>4</v>
      </c>
      <c r="N100" t="s">
        <v>363</v>
      </c>
      <c r="O100">
        <v>4</v>
      </c>
    </row>
    <row r="101" spans="1:15">
      <c r="A101" s="9" t="s">
        <v>311</v>
      </c>
      <c r="B101" s="7" t="str">
        <f>VLOOKUP(A101,Combined!$A$1:$C$501,2,FALSE)</f>
        <v>S016</v>
      </c>
      <c r="C101" s="7" t="s">
        <v>37</v>
      </c>
      <c r="D101" s="7" t="str">
        <f>VLOOKUP(A101,Combined!$A$1:$C$501,3,FALSE)</f>
        <v>C009</v>
      </c>
      <c r="E101" t="str">
        <f>VLOOKUP(D101,Combined!$C$1:$H$501,6,FALSE)</f>
        <v>Marketing</v>
      </c>
      <c r="F101">
        <f>VLOOKUP(D101,Combined!$C$1:$J$501,8,FALSE)</f>
        <v>3</v>
      </c>
      <c r="N101" t="s">
        <v>412</v>
      </c>
      <c r="O101">
        <v>4</v>
      </c>
    </row>
    <row r="102" spans="1:15">
      <c r="A102" s="8" t="s">
        <v>326</v>
      </c>
      <c r="B102" s="7" t="str">
        <f>VLOOKUP(A102,Combined!$A$1:$C$501,2,FALSE)</f>
        <v>S016</v>
      </c>
      <c r="C102" s="7" t="s">
        <v>37</v>
      </c>
      <c r="D102" s="7" t="str">
        <f>VLOOKUP(A102,Combined!$A$1:$C$501,3,FALSE)</f>
        <v>C008</v>
      </c>
      <c r="E102" t="str">
        <f>VLOOKUP(D102,Combined!$C$1:$H$501,6,FALSE)</f>
        <v>Structural Analysis</v>
      </c>
      <c r="F102">
        <f>VLOOKUP(D102,Combined!$C$1:$J$501,8,FALSE)</f>
        <v>4</v>
      </c>
      <c r="N102" t="s">
        <v>435</v>
      </c>
      <c r="O102">
        <v>4</v>
      </c>
    </row>
    <row r="103" spans="1:15">
      <c r="A103" s="9" t="s">
        <v>349</v>
      </c>
      <c r="B103" s="7" t="str">
        <f>VLOOKUP(A103,Combined!$A$1:$C$501,2,FALSE)</f>
        <v>S016</v>
      </c>
      <c r="C103" s="7" t="s">
        <v>37</v>
      </c>
      <c r="D103" s="7" t="str">
        <f>VLOOKUP(A103,Combined!$A$1:$C$501,3,FALSE)</f>
        <v>C003</v>
      </c>
      <c r="E103" t="str">
        <f>VLOOKUP(D103,Combined!$C$1:$H$501,6,FALSE)</f>
        <v>Thermodynamics</v>
      </c>
      <c r="F103">
        <f>VLOOKUP(D103,Combined!$C$1:$J$501,8,FALSE)</f>
        <v>3</v>
      </c>
      <c r="N103" t="s">
        <v>503</v>
      </c>
      <c r="O103">
        <v>3</v>
      </c>
    </row>
    <row r="104" spans="1:15">
      <c r="A104" s="8" t="s">
        <v>414</v>
      </c>
      <c r="B104" s="7" t="str">
        <f>VLOOKUP(A104,Combined!$A$1:$C$501,2,FALSE)</f>
        <v>S016</v>
      </c>
      <c r="C104" s="7" t="s">
        <v>37</v>
      </c>
      <c r="D104" s="7" t="str">
        <f>VLOOKUP(A104,Combined!$A$1:$C$501,3,FALSE)</f>
        <v>C008</v>
      </c>
      <c r="E104" t="str">
        <f>VLOOKUP(D104,Combined!$C$1:$H$501,6,FALSE)</f>
        <v>Structural Analysis</v>
      </c>
      <c r="F104">
        <f>VLOOKUP(D104,Combined!$C$1:$J$501,8,FALSE)</f>
        <v>4</v>
      </c>
      <c r="N104" t="s">
        <v>513</v>
      </c>
      <c r="O104">
        <v>3</v>
      </c>
    </row>
    <row r="105" spans="1:15">
      <c r="A105" s="9" t="s">
        <v>537</v>
      </c>
      <c r="B105" s="7" t="str">
        <f>VLOOKUP(A105,Combined!$A$1:$C$501,2,FALSE)</f>
        <v>S016</v>
      </c>
      <c r="C105" s="7" t="s">
        <v>37</v>
      </c>
      <c r="D105" s="7" t="str">
        <f>VLOOKUP(A105,Combined!$A$1:$C$501,3,FALSE)</f>
        <v>C001</v>
      </c>
      <c r="E105" t="str">
        <f>VLOOKUP(D105,Combined!$C$1:$H$501,6,FALSE)</f>
        <v>Data Structures</v>
      </c>
      <c r="F105">
        <f>VLOOKUP(D105,Combined!$C$1:$J$501,8,FALSE)</f>
        <v>3</v>
      </c>
      <c r="N105" t="s">
        <v>614</v>
      </c>
      <c r="O105">
        <v>3</v>
      </c>
    </row>
    <row r="106" spans="1:15">
      <c r="A106" s="8" t="s">
        <v>558</v>
      </c>
      <c r="B106" s="7" t="str">
        <f>VLOOKUP(A106,Combined!$A$1:$C$501,2,FALSE)</f>
        <v>S016</v>
      </c>
      <c r="C106" s="7" t="s">
        <v>37</v>
      </c>
      <c r="D106" s="7" t="str">
        <f>VLOOKUP(A106,Combined!$A$1:$C$501,3,FALSE)</f>
        <v>C006</v>
      </c>
      <c r="E106" t="str">
        <f>VLOOKUP(D106,Combined!$C$1:$H$501,6,FALSE)</f>
        <v>Fluid Mechanics</v>
      </c>
      <c r="F106">
        <f>VLOOKUP(D106,Combined!$C$1:$J$501,8,FALSE)</f>
        <v>4</v>
      </c>
      <c r="N106" t="s">
        <v>629</v>
      </c>
      <c r="O106">
        <v>3</v>
      </c>
    </row>
    <row r="107" spans="1:15">
      <c r="A107" s="9" t="s">
        <v>595</v>
      </c>
      <c r="B107" s="7" t="str">
        <f>VLOOKUP(A107,Combined!$A$1:$C$501,2,FALSE)</f>
        <v>S016</v>
      </c>
      <c r="C107" s="7" t="s">
        <v>37</v>
      </c>
      <c r="D107" s="7" t="str">
        <f>VLOOKUP(A107,Combined!$A$1:$C$501,3,FALSE)</f>
        <v>C009</v>
      </c>
      <c r="E107" t="str">
        <f>VLOOKUP(D107,Combined!$C$1:$H$501,6,FALSE)</f>
        <v>Marketing</v>
      </c>
      <c r="F107">
        <f>VLOOKUP(D107,Combined!$C$1:$J$501,8,FALSE)</f>
        <v>3</v>
      </c>
      <c r="M107" t="s">
        <v>34</v>
      </c>
      <c r="O107">
        <v>10</v>
      </c>
    </row>
    <row r="108" spans="1:15">
      <c r="A108" s="8" t="s">
        <v>656</v>
      </c>
      <c r="B108" s="7" t="str">
        <f>VLOOKUP(A108,Combined!$A$1:$C$501,2,FALSE)</f>
        <v>S016</v>
      </c>
      <c r="C108" s="7" t="s">
        <v>37</v>
      </c>
      <c r="D108" s="7" t="str">
        <f>VLOOKUP(A108,Combined!$A$1:$C$501,3,FALSE)</f>
        <v>C010</v>
      </c>
      <c r="E108" t="str">
        <f>VLOOKUP(D108,Combined!$C$1:$H$501,6,FALSE)</f>
        <v>Finance</v>
      </c>
      <c r="F108">
        <f>VLOOKUP(D108,Combined!$C$1:$J$501,8,FALSE)</f>
        <v>4</v>
      </c>
      <c r="N108" t="s">
        <v>274</v>
      </c>
      <c r="O108">
        <v>3</v>
      </c>
    </row>
    <row r="109" spans="1:15">
      <c r="A109" s="8" t="s">
        <v>258</v>
      </c>
      <c r="B109" s="7" t="str">
        <f>VLOOKUP(A109,Combined!$A$1:$C$501,2,FALSE)</f>
        <v>S017</v>
      </c>
      <c r="C109" s="7" t="s">
        <v>39</v>
      </c>
      <c r="D109" s="7" t="str">
        <f>VLOOKUP(A109,Combined!$A$1:$C$501,3,FALSE)</f>
        <v>C010</v>
      </c>
      <c r="E109" t="str">
        <f>VLOOKUP(D109,Combined!$C$1:$H$501,6,FALSE)</f>
        <v>Finance</v>
      </c>
      <c r="F109">
        <f>VLOOKUP(D109,Combined!$C$1:$J$501,8,FALSE)</f>
        <v>4</v>
      </c>
      <c r="N109" t="s">
        <v>384</v>
      </c>
      <c r="O109">
        <v>4</v>
      </c>
    </row>
    <row r="110" spans="1:15">
      <c r="A110" s="8" t="s">
        <v>362</v>
      </c>
      <c r="B110" s="7" t="str">
        <f>VLOOKUP(A110,Combined!$A$1:$C$501,2,FALSE)</f>
        <v>S017</v>
      </c>
      <c r="C110" s="7" t="s">
        <v>39</v>
      </c>
      <c r="D110" s="7" t="str">
        <f>VLOOKUP(A110,Combined!$A$1:$C$501,3,FALSE)</f>
        <v>C009</v>
      </c>
      <c r="E110" t="str">
        <f>VLOOKUP(D110,Combined!$C$1:$H$501,6,FALSE)</f>
        <v>Marketing</v>
      </c>
      <c r="F110">
        <f>VLOOKUP(D110,Combined!$C$1:$J$501,8,FALSE)</f>
        <v>3</v>
      </c>
      <c r="N110" t="s">
        <v>623</v>
      </c>
      <c r="O110">
        <v>3</v>
      </c>
    </row>
    <row r="111" spans="1:15">
      <c r="A111" s="8" t="s">
        <v>394</v>
      </c>
      <c r="B111" s="7" t="str">
        <f>VLOOKUP(A111,Combined!$A$1:$C$501,2,FALSE)</f>
        <v>S017</v>
      </c>
      <c r="C111" s="7" t="s">
        <v>39</v>
      </c>
      <c r="D111" s="7" t="str">
        <f>VLOOKUP(A111,Combined!$A$1:$C$501,3,FALSE)</f>
        <v>C009</v>
      </c>
      <c r="E111" t="str">
        <f>VLOOKUP(D111,Combined!$C$1:$H$501,6,FALSE)</f>
        <v>Marketing</v>
      </c>
      <c r="F111">
        <f>VLOOKUP(D111,Combined!$C$1:$J$501,8,FALSE)</f>
        <v>3</v>
      </c>
      <c r="M111" t="s">
        <v>35</v>
      </c>
      <c r="O111">
        <v>14</v>
      </c>
    </row>
    <row r="112" spans="1:15">
      <c r="A112" s="9" t="s">
        <v>423</v>
      </c>
      <c r="B112" s="7" t="str">
        <f>VLOOKUP(A112,Combined!$A$1:$C$501,2,FALSE)</f>
        <v>S017</v>
      </c>
      <c r="C112" s="7" t="s">
        <v>39</v>
      </c>
      <c r="D112" s="7" t="str">
        <f>VLOOKUP(A112,Combined!$A$1:$C$501,3,FALSE)</f>
        <v>C007</v>
      </c>
      <c r="E112" t="str">
        <f>VLOOKUP(D112,Combined!$C$1:$H$501,6,FALSE)</f>
        <v>Digital Logic</v>
      </c>
      <c r="F112">
        <f>VLOOKUP(D112,Combined!$C$1:$J$501,8,FALSE)</f>
        <v>3</v>
      </c>
      <c r="N112" t="s">
        <v>340</v>
      </c>
      <c r="O112">
        <v>3</v>
      </c>
    </row>
    <row r="113" spans="1:15">
      <c r="A113" s="8" t="s">
        <v>432</v>
      </c>
      <c r="B113" s="7" t="str">
        <f>VLOOKUP(A113,Combined!$A$1:$C$501,2,FALSE)</f>
        <v>S017</v>
      </c>
      <c r="C113" s="7" t="s">
        <v>39</v>
      </c>
      <c r="D113" s="7" t="str">
        <f>VLOOKUP(A113,Combined!$A$1:$C$501,3,FALSE)</f>
        <v>C005</v>
      </c>
      <c r="E113" t="str">
        <f>VLOOKUP(D113,Combined!$C$1:$H$501,6,FALSE)</f>
        <v>AI &amp; ML</v>
      </c>
      <c r="F113">
        <f>VLOOKUP(D113,Combined!$C$1:$J$501,8,FALSE)</f>
        <v>3</v>
      </c>
      <c r="N113" t="s">
        <v>536</v>
      </c>
      <c r="O113">
        <v>3</v>
      </c>
    </row>
    <row r="114" spans="1:15">
      <c r="A114" s="8" t="s">
        <v>508</v>
      </c>
      <c r="B114" s="7" t="str">
        <f>VLOOKUP(A114,Combined!$A$1:$C$501,2,FALSE)</f>
        <v>S017</v>
      </c>
      <c r="C114" s="7" t="s">
        <v>39</v>
      </c>
      <c r="D114" s="7" t="str">
        <f>VLOOKUP(A114,Combined!$A$1:$C$501,3,FALSE)</f>
        <v>C009</v>
      </c>
      <c r="E114" t="str">
        <f>VLOOKUP(D114,Combined!$C$1:$H$501,6,FALSE)</f>
        <v>Marketing</v>
      </c>
      <c r="F114">
        <f>VLOOKUP(D114,Combined!$C$1:$J$501,8,FALSE)</f>
        <v>3</v>
      </c>
      <c r="N114" t="s">
        <v>539</v>
      </c>
      <c r="O114">
        <v>4</v>
      </c>
    </row>
    <row r="115" spans="1:15">
      <c r="A115" s="9" t="s">
        <v>571</v>
      </c>
      <c r="B115" s="7" t="str">
        <f>VLOOKUP(A115,Combined!$A$1:$C$501,2,FALSE)</f>
        <v>S017</v>
      </c>
      <c r="C115" s="7" t="s">
        <v>39</v>
      </c>
      <c r="D115" s="7" t="str">
        <f>VLOOKUP(A115,Combined!$A$1:$C$501,3,FALSE)</f>
        <v>C002</v>
      </c>
      <c r="E115" t="str">
        <f>VLOOKUP(D115,Combined!$C$1:$H$501,6,FALSE)</f>
        <v>DBMS</v>
      </c>
      <c r="F115">
        <f>VLOOKUP(D115,Combined!$C$1:$J$501,8,FALSE)</f>
        <v>4</v>
      </c>
      <c r="N115" t="s">
        <v>697</v>
      </c>
      <c r="O115">
        <v>4</v>
      </c>
    </row>
    <row r="116" spans="1:15">
      <c r="A116" s="9" t="s">
        <v>591</v>
      </c>
      <c r="B116" s="7" t="str">
        <f>VLOOKUP(A116,Combined!$A$1:$C$501,2,FALSE)</f>
        <v>S017</v>
      </c>
      <c r="C116" s="7" t="s">
        <v>39</v>
      </c>
      <c r="D116" s="7" t="str">
        <f>VLOOKUP(A116,Combined!$A$1:$C$501,3,FALSE)</f>
        <v>C006</v>
      </c>
      <c r="E116" t="str">
        <f>VLOOKUP(D116,Combined!$C$1:$H$501,6,FALSE)</f>
        <v>Fluid Mechanics</v>
      </c>
      <c r="F116">
        <f>VLOOKUP(D116,Combined!$C$1:$J$501,8,FALSE)</f>
        <v>4</v>
      </c>
      <c r="M116" t="s">
        <v>36</v>
      </c>
      <c r="O116">
        <v>28</v>
      </c>
    </row>
    <row r="117" spans="1:15">
      <c r="A117" s="9" t="s">
        <v>599</v>
      </c>
      <c r="B117" s="7" t="str">
        <f>VLOOKUP(A117,Combined!$A$1:$C$501,2,FALSE)</f>
        <v>S017</v>
      </c>
      <c r="C117" s="7" t="s">
        <v>39</v>
      </c>
      <c r="D117" s="7" t="str">
        <f>VLOOKUP(A117,Combined!$A$1:$C$501,3,FALSE)</f>
        <v>C005</v>
      </c>
      <c r="E117" t="str">
        <f>VLOOKUP(D117,Combined!$C$1:$H$501,6,FALSE)</f>
        <v>AI &amp; ML</v>
      </c>
      <c r="F117">
        <f>VLOOKUP(D117,Combined!$C$1:$J$501,8,FALSE)</f>
        <v>3</v>
      </c>
      <c r="N117" t="s">
        <v>311</v>
      </c>
      <c r="O117">
        <v>3</v>
      </c>
    </row>
    <row r="118" spans="1:15">
      <c r="A118" s="9" t="s">
        <v>611</v>
      </c>
      <c r="B118" s="7" t="str">
        <f>VLOOKUP(A118,Combined!$A$1:$C$501,2,FALSE)</f>
        <v>S017</v>
      </c>
      <c r="C118" s="7" t="s">
        <v>39</v>
      </c>
      <c r="D118" s="7" t="str">
        <f>VLOOKUP(A118,Combined!$A$1:$C$501,3,FALSE)</f>
        <v>C006</v>
      </c>
      <c r="E118" t="str">
        <f>VLOOKUP(D118,Combined!$C$1:$H$501,6,FALSE)</f>
        <v>Fluid Mechanics</v>
      </c>
      <c r="F118">
        <f>VLOOKUP(D118,Combined!$C$1:$J$501,8,FALSE)</f>
        <v>4</v>
      </c>
      <c r="N118" t="s">
        <v>326</v>
      </c>
      <c r="O118">
        <v>4</v>
      </c>
    </row>
    <row r="119" spans="1:15">
      <c r="A119" s="8" t="s">
        <v>240</v>
      </c>
      <c r="B119" s="7" t="str">
        <f>VLOOKUP(A119,Combined!$A$1:$C$501,2,FALSE)</f>
        <v>S018</v>
      </c>
      <c r="C119" s="7" t="s">
        <v>25</v>
      </c>
      <c r="D119" s="7" t="str">
        <f>VLOOKUP(A119,Combined!$A$1:$C$501,3,FALSE)</f>
        <v>C008</v>
      </c>
      <c r="E119" t="str">
        <f>VLOOKUP(D119,Combined!$C$1:$H$501,6,FALSE)</f>
        <v>Structural Analysis</v>
      </c>
      <c r="F119">
        <f>VLOOKUP(D119,Combined!$C$1:$J$501,8,FALSE)</f>
        <v>4</v>
      </c>
      <c r="N119" t="s">
        <v>349</v>
      </c>
      <c r="O119">
        <v>3</v>
      </c>
    </row>
    <row r="120" spans="1:15">
      <c r="A120" s="9" t="s">
        <v>405</v>
      </c>
      <c r="B120" s="7" t="str">
        <f>VLOOKUP(A120,Combined!$A$1:$C$501,2,FALSE)</f>
        <v>S018</v>
      </c>
      <c r="C120" s="7" t="s">
        <v>25</v>
      </c>
      <c r="D120" s="7" t="str">
        <f>VLOOKUP(A120,Combined!$A$1:$C$501,3,FALSE)</f>
        <v>C001</v>
      </c>
      <c r="E120" t="str">
        <f>VLOOKUP(D120,Combined!$C$1:$H$501,6,FALSE)</f>
        <v>Data Structures</v>
      </c>
      <c r="F120">
        <f>VLOOKUP(D120,Combined!$C$1:$J$501,8,FALSE)</f>
        <v>3</v>
      </c>
      <c r="N120" t="s">
        <v>414</v>
      </c>
      <c r="O120">
        <v>4</v>
      </c>
    </row>
    <row r="121" spans="1:15">
      <c r="A121" s="8" t="s">
        <v>512</v>
      </c>
      <c r="B121" s="7" t="str">
        <f>VLOOKUP(A121,Combined!$A$1:$C$501,2,FALSE)</f>
        <v>S018</v>
      </c>
      <c r="C121" s="7" t="s">
        <v>25</v>
      </c>
      <c r="D121" s="7" t="str">
        <f>VLOOKUP(A121,Combined!$A$1:$C$501,3,FALSE)</f>
        <v>C003</v>
      </c>
      <c r="E121" t="str">
        <f>VLOOKUP(D121,Combined!$C$1:$H$501,6,FALSE)</f>
        <v>Thermodynamics</v>
      </c>
      <c r="F121">
        <f>VLOOKUP(D121,Combined!$C$1:$J$501,8,FALSE)</f>
        <v>3</v>
      </c>
      <c r="N121" t="s">
        <v>537</v>
      </c>
      <c r="O121">
        <v>3</v>
      </c>
    </row>
    <row r="122" spans="1:15">
      <c r="A122" s="8" t="s">
        <v>532</v>
      </c>
      <c r="B122" s="7" t="str">
        <f>VLOOKUP(A122,Combined!$A$1:$C$501,2,FALSE)</f>
        <v>S018</v>
      </c>
      <c r="C122" s="7" t="s">
        <v>25</v>
      </c>
      <c r="D122" s="7" t="str">
        <f>VLOOKUP(A122,Combined!$A$1:$C$501,3,FALSE)</f>
        <v>C001</v>
      </c>
      <c r="E122" t="str">
        <f>VLOOKUP(D122,Combined!$C$1:$H$501,6,FALSE)</f>
        <v>Data Structures</v>
      </c>
      <c r="F122">
        <f>VLOOKUP(D122,Combined!$C$1:$J$501,8,FALSE)</f>
        <v>3</v>
      </c>
      <c r="N122" t="s">
        <v>558</v>
      </c>
      <c r="O122">
        <v>4</v>
      </c>
    </row>
    <row r="123" spans="1:15">
      <c r="A123" s="9" t="s">
        <v>581</v>
      </c>
      <c r="B123" s="7" t="str">
        <f>VLOOKUP(A123,Combined!$A$1:$C$501,2,FALSE)</f>
        <v>S018</v>
      </c>
      <c r="C123" s="7" t="s">
        <v>25</v>
      </c>
      <c r="D123" s="7" t="str">
        <f>VLOOKUP(A123,Combined!$A$1:$C$501,3,FALSE)</f>
        <v>C002</v>
      </c>
      <c r="E123" t="str">
        <f>VLOOKUP(D123,Combined!$C$1:$H$501,6,FALSE)</f>
        <v>DBMS</v>
      </c>
      <c r="F123">
        <f>VLOOKUP(D123,Combined!$C$1:$J$501,8,FALSE)</f>
        <v>4</v>
      </c>
      <c r="N123" t="s">
        <v>595</v>
      </c>
      <c r="O123">
        <v>3</v>
      </c>
    </row>
    <row r="124" spans="1:15">
      <c r="A124" s="8" t="s">
        <v>586</v>
      </c>
      <c r="B124" s="7" t="str">
        <f>VLOOKUP(A124,Combined!$A$1:$C$501,2,FALSE)</f>
        <v>S018</v>
      </c>
      <c r="C124" s="7" t="s">
        <v>25</v>
      </c>
      <c r="D124" s="7" t="str">
        <f>VLOOKUP(A124,Combined!$A$1:$C$501,3,FALSE)</f>
        <v>C004</v>
      </c>
      <c r="E124" t="str">
        <f>VLOOKUP(D124,Combined!$C$1:$H$501,6,FALSE)</f>
        <v>Circuits</v>
      </c>
      <c r="F124">
        <f>VLOOKUP(D124,Combined!$C$1:$J$501,8,FALSE)</f>
        <v>4</v>
      </c>
      <c r="N124" t="s">
        <v>656</v>
      </c>
      <c r="O124">
        <v>4</v>
      </c>
    </row>
    <row r="125" spans="1:15">
      <c r="A125" s="9" t="s">
        <v>661</v>
      </c>
      <c r="B125" s="7" t="str">
        <f>VLOOKUP(A125,Combined!$A$1:$C$501,2,FALSE)</f>
        <v>S018</v>
      </c>
      <c r="C125" s="7" t="s">
        <v>25</v>
      </c>
      <c r="D125" s="7" t="str">
        <f>VLOOKUP(A125,Combined!$A$1:$C$501,3,FALSE)</f>
        <v>C002</v>
      </c>
      <c r="E125" t="str">
        <f>VLOOKUP(D125,Combined!$C$1:$H$501,6,FALSE)</f>
        <v>DBMS</v>
      </c>
      <c r="F125">
        <f>VLOOKUP(D125,Combined!$C$1:$J$501,8,FALSE)</f>
        <v>4</v>
      </c>
      <c r="M125" t="s">
        <v>38</v>
      </c>
      <c r="O125">
        <v>34</v>
      </c>
    </row>
    <row r="126" spans="1:15">
      <c r="A126" s="8" t="s">
        <v>674</v>
      </c>
      <c r="B126" s="7" t="str">
        <f>VLOOKUP(A126,Combined!$A$1:$C$501,2,FALSE)</f>
        <v>S018</v>
      </c>
      <c r="C126" s="7" t="s">
        <v>25</v>
      </c>
      <c r="D126" s="7" t="str">
        <f>VLOOKUP(A126,Combined!$A$1:$C$501,3,FALSE)</f>
        <v>C009</v>
      </c>
      <c r="E126" t="str">
        <f>VLOOKUP(D126,Combined!$C$1:$H$501,6,FALSE)</f>
        <v>Marketing</v>
      </c>
      <c r="F126">
        <f>VLOOKUP(D126,Combined!$C$1:$J$501,8,FALSE)</f>
        <v>3</v>
      </c>
      <c r="N126" t="s">
        <v>258</v>
      </c>
      <c r="O126">
        <v>4</v>
      </c>
    </row>
    <row r="127" spans="1:15">
      <c r="A127" s="9" t="s">
        <v>483</v>
      </c>
      <c r="B127" s="7" t="str">
        <f>VLOOKUP(A127,Combined!$A$1:$C$501,2,FALSE)</f>
        <v>S019</v>
      </c>
      <c r="C127" s="7" t="s">
        <v>31</v>
      </c>
      <c r="D127" s="7" t="str">
        <f>VLOOKUP(A127,Combined!$A$1:$C$501,3,FALSE)</f>
        <v>C005</v>
      </c>
      <c r="E127" t="str">
        <f>VLOOKUP(D127,Combined!$C$1:$H$501,6,FALSE)</f>
        <v>AI &amp; ML</v>
      </c>
      <c r="F127">
        <f>VLOOKUP(D127,Combined!$C$1:$J$501,8,FALSE)</f>
        <v>3</v>
      </c>
      <c r="N127" t="s">
        <v>362</v>
      </c>
      <c r="O127">
        <v>3</v>
      </c>
    </row>
    <row r="128" spans="1:15">
      <c r="A128" s="8" t="s">
        <v>570</v>
      </c>
      <c r="B128" s="7" t="str">
        <f>VLOOKUP(A128,Combined!$A$1:$C$501,2,FALSE)</f>
        <v>S019</v>
      </c>
      <c r="C128" s="7" t="s">
        <v>31</v>
      </c>
      <c r="D128" s="7" t="str">
        <f>VLOOKUP(A128,Combined!$A$1:$C$501,3,FALSE)</f>
        <v>C010</v>
      </c>
      <c r="E128" t="str">
        <f>VLOOKUP(D128,Combined!$C$1:$H$501,6,FALSE)</f>
        <v>Finance</v>
      </c>
      <c r="F128">
        <f>VLOOKUP(D128,Combined!$C$1:$J$501,8,FALSE)</f>
        <v>4</v>
      </c>
      <c r="N128" t="s">
        <v>394</v>
      </c>
      <c r="O128">
        <v>3</v>
      </c>
    </row>
    <row r="129" spans="1:15">
      <c r="A129" s="8" t="s">
        <v>644</v>
      </c>
      <c r="B129" s="7" t="str">
        <f>VLOOKUP(A129,Combined!$A$1:$C$501,2,FALSE)</f>
        <v>S019</v>
      </c>
      <c r="C129" s="7" t="s">
        <v>31</v>
      </c>
      <c r="D129" s="7" t="str">
        <f>VLOOKUP(A129,Combined!$A$1:$C$501,3,FALSE)</f>
        <v>C004</v>
      </c>
      <c r="E129" t="str">
        <f>VLOOKUP(D129,Combined!$C$1:$H$501,6,FALSE)</f>
        <v>Circuits</v>
      </c>
      <c r="F129">
        <f>VLOOKUP(D129,Combined!$C$1:$J$501,8,FALSE)</f>
        <v>4</v>
      </c>
      <c r="N129" t="s">
        <v>423</v>
      </c>
      <c r="O129">
        <v>3</v>
      </c>
    </row>
    <row r="130" spans="1:15">
      <c r="A130" s="8" t="s">
        <v>356</v>
      </c>
      <c r="B130" s="7" t="str">
        <f>VLOOKUP(A130,Combined!$A$1:$C$501,2,FALSE)</f>
        <v>S020</v>
      </c>
      <c r="C130" s="7" t="s">
        <v>39</v>
      </c>
      <c r="D130" s="7" t="str">
        <f>VLOOKUP(A130,Combined!$A$1:$C$501,3,FALSE)</f>
        <v>C008</v>
      </c>
      <c r="E130" t="str">
        <f>VLOOKUP(D130,Combined!$C$1:$H$501,6,FALSE)</f>
        <v>Structural Analysis</v>
      </c>
      <c r="F130">
        <f>VLOOKUP(D130,Combined!$C$1:$J$501,8,FALSE)</f>
        <v>4</v>
      </c>
      <c r="N130" t="s">
        <v>432</v>
      </c>
      <c r="O130">
        <v>3</v>
      </c>
    </row>
    <row r="131" spans="1:15">
      <c r="A131" s="8" t="s">
        <v>522</v>
      </c>
      <c r="B131" s="7" t="str">
        <f>VLOOKUP(A131,Combined!$A$1:$C$501,2,FALSE)</f>
        <v>S021</v>
      </c>
      <c r="C131" s="7" t="s">
        <v>10</v>
      </c>
      <c r="D131" s="7" t="str">
        <f>VLOOKUP(A131,Combined!$A$1:$C$501,3,FALSE)</f>
        <v>C004</v>
      </c>
      <c r="E131" t="str">
        <f>VLOOKUP(D131,Combined!$C$1:$H$501,6,FALSE)</f>
        <v>Circuits</v>
      </c>
      <c r="F131">
        <f>VLOOKUP(D131,Combined!$C$1:$J$501,8,FALSE)</f>
        <v>4</v>
      </c>
      <c r="N131" t="s">
        <v>508</v>
      </c>
      <c r="O131">
        <v>3</v>
      </c>
    </row>
    <row r="132" spans="1:15">
      <c r="A132" s="9" t="s">
        <v>687</v>
      </c>
      <c r="B132" s="7" t="str">
        <f>VLOOKUP(A132,Combined!$A$1:$C$501,2,FALSE)</f>
        <v>S021</v>
      </c>
      <c r="C132" s="7" t="s">
        <v>10</v>
      </c>
      <c r="D132" s="7" t="str">
        <f>VLOOKUP(A132,Combined!$A$1:$C$501,3,FALSE)</f>
        <v>C007</v>
      </c>
      <c r="E132" t="str">
        <f>VLOOKUP(D132,Combined!$C$1:$H$501,6,FALSE)</f>
        <v>Digital Logic</v>
      </c>
      <c r="F132">
        <f>VLOOKUP(D132,Combined!$C$1:$J$501,8,FALSE)</f>
        <v>3</v>
      </c>
      <c r="N132" t="s">
        <v>571</v>
      </c>
      <c r="O132">
        <v>4</v>
      </c>
    </row>
    <row r="133" spans="1:15">
      <c r="A133" s="8" t="s">
        <v>376</v>
      </c>
      <c r="B133" s="7" t="str">
        <f>VLOOKUP(A133,Combined!$A$1:$C$501,2,FALSE)</f>
        <v>S022</v>
      </c>
      <c r="C133" s="7" t="s">
        <v>37</v>
      </c>
      <c r="D133" s="7" t="str">
        <f>VLOOKUP(A133,Combined!$A$1:$C$501,3,FALSE)</f>
        <v>C003</v>
      </c>
      <c r="E133" t="str">
        <f>VLOOKUP(D133,Combined!$C$1:$H$501,6,FALSE)</f>
        <v>Thermodynamics</v>
      </c>
      <c r="F133">
        <f>VLOOKUP(D133,Combined!$C$1:$J$501,8,FALSE)</f>
        <v>3</v>
      </c>
      <c r="N133" t="s">
        <v>591</v>
      </c>
      <c r="O133">
        <v>4</v>
      </c>
    </row>
    <row r="134" spans="1:15">
      <c r="A134" s="9" t="s">
        <v>395</v>
      </c>
      <c r="B134" s="7" t="str">
        <f>VLOOKUP(A134,Combined!$A$1:$C$501,2,FALSE)</f>
        <v>S022</v>
      </c>
      <c r="C134" s="7" t="s">
        <v>37</v>
      </c>
      <c r="D134" s="7" t="str">
        <f>VLOOKUP(A134,Combined!$A$1:$C$501,3,FALSE)</f>
        <v>C005</v>
      </c>
      <c r="E134" t="str">
        <f>VLOOKUP(D134,Combined!$C$1:$H$501,6,FALSE)</f>
        <v>AI &amp; ML</v>
      </c>
      <c r="F134">
        <f>VLOOKUP(D134,Combined!$C$1:$J$501,8,FALSE)</f>
        <v>3</v>
      </c>
      <c r="N134" t="s">
        <v>599</v>
      </c>
      <c r="O134">
        <v>3</v>
      </c>
    </row>
    <row r="135" spans="1:15">
      <c r="A135" s="8" t="s">
        <v>596</v>
      </c>
      <c r="B135" s="7" t="str">
        <f>VLOOKUP(A135,Combined!$A$1:$C$501,2,FALSE)</f>
        <v>S022</v>
      </c>
      <c r="C135" s="7" t="s">
        <v>37</v>
      </c>
      <c r="D135" s="7" t="str">
        <f>VLOOKUP(A135,Combined!$A$1:$C$501,3,FALSE)</f>
        <v>C003</v>
      </c>
      <c r="E135" t="str">
        <f>VLOOKUP(D135,Combined!$C$1:$H$501,6,FALSE)</f>
        <v>Thermodynamics</v>
      </c>
      <c r="F135">
        <f>VLOOKUP(D135,Combined!$C$1:$J$501,8,FALSE)</f>
        <v>3</v>
      </c>
      <c r="N135" t="s">
        <v>611</v>
      </c>
      <c r="O135">
        <v>4</v>
      </c>
    </row>
    <row r="136" spans="1:15">
      <c r="A136" s="9" t="s">
        <v>601</v>
      </c>
      <c r="B136" s="7" t="str">
        <f>VLOOKUP(A136,Combined!$A$1:$C$501,2,FALSE)</f>
        <v>S022</v>
      </c>
      <c r="C136" s="7" t="s">
        <v>37</v>
      </c>
      <c r="D136" s="7" t="str">
        <f>VLOOKUP(A136,Combined!$A$1:$C$501,3,FALSE)</f>
        <v>C010</v>
      </c>
      <c r="E136" t="str">
        <f>VLOOKUP(D136,Combined!$C$1:$H$501,6,FALSE)</f>
        <v>Finance</v>
      </c>
      <c r="F136">
        <f>VLOOKUP(D136,Combined!$C$1:$J$501,8,FALSE)</f>
        <v>4</v>
      </c>
      <c r="M136" t="s">
        <v>40</v>
      </c>
      <c r="O136">
        <v>28</v>
      </c>
    </row>
    <row r="137" spans="1:15">
      <c r="A137" s="9" t="s">
        <v>643</v>
      </c>
      <c r="B137" s="7" t="str">
        <f>VLOOKUP(A137,Combined!$A$1:$C$501,2,FALSE)</f>
        <v>S022</v>
      </c>
      <c r="C137" s="7" t="s">
        <v>37</v>
      </c>
      <c r="D137" s="7" t="str">
        <f>VLOOKUP(A137,Combined!$A$1:$C$501,3,FALSE)</f>
        <v>C009</v>
      </c>
      <c r="E137" t="str">
        <f>VLOOKUP(D137,Combined!$C$1:$H$501,6,FALSE)</f>
        <v>Marketing</v>
      </c>
      <c r="F137">
        <f>VLOOKUP(D137,Combined!$C$1:$J$501,8,FALSE)</f>
        <v>3</v>
      </c>
      <c r="N137" t="s">
        <v>240</v>
      </c>
      <c r="O137">
        <v>4</v>
      </c>
    </row>
    <row r="138" spans="1:15">
      <c r="A138" s="8" t="s">
        <v>696</v>
      </c>
      <c r="B138" s="7" t="str">
        <f>VLOOKUP(A138,Combined!$A$1:$C$501,2,FALSE)</f>
        <v>S022</v>
      </c>
      <c r="C138" s="7" t="s">
        <v>37</v>
      </c>
      <c r="D138" s="7" t="str">
        <f>VLOOKUP(A138,Combined!$A$1:$C$501,3,FALSE)</f>
        <v>C006</v>
      </c>
      <c r="E138" t="str">
        <f>VLOOKUP(D138,Combined!$C$1:$H$501,6,FALSE)</f>
        <v>Fluid Mechanics</v>
      </c>
      <c r="F138">
        <f>VLOOKUP(D138,Combined!$C$1:$J$501,8,FALSE)</f>
        <v>4</v>
      </c>
      <c r="N138" t="s">
        <v>405</v>
      </c>
      <c r="O138">
        <v>3</v>
      </c>
    </row>
    <row r="139" spans="1:15">
      <c r="A139" s="9" t="s">
        <v>317</v>
      </c>
      <c r="B139" s="7" t="str">
        <f>VLOOKUP(A139,Combined!$A$1:$C$501,2,FALSE)</f>
        <v>S023</v>
      </c>
      <c r="C139" s="7" t="s">
        <v>22</v>
      </c>
      <c r="D139" s="7" t="str">
        <f>VLOOKUP(A139,Combined!$A$1:$C$501,3,FALSE)</f>
        <v>C009</v>
      </c>
      <c r="E139" t="str">
        <f>VLOOKUP(D139,Combined!$C$1:$H$501,6,FALSE)</f>
        <v>Marketing</v>
      </c>
      <c r="F139">
        <f>VLOOKUP(D139,Combined!$C$1:$J$501,8,FALSE)</f>
        <v>3</v>
      </c>
      <c r="N139" t="s">
        <v>512</v>
      </c>
      <c r="O139">
        <v>3</v>
      </c>
    </row>
    <row r="140" spans="1:15">
      <c r="A140" s="8" t="s">
        <v>420</v>
      </c>
      <c r="B140" s="7" t="str">
        <f>VLOOKUP(A140,Combined!$A$1:$C$501,2,FALSE)</f>
        <v>S023</v>
      </c>
      <c r="C140" s="7" t="s">
        <v>22</v>
      </c>
      <c r="D140" s="7" t="str">
        <f>VLOOKUP(A140,Combined!$A$1:$C$501,3,FALSE)</f>
        <v>C002</v>
      </c>
      <c r="E140" t="str">
        <f>VLOOKUP(D140,Combined!$C$1:$H$501,6,FALSE)</f>
        <v>DBMS</v>
      </c>
      <c r="F140">
        <f>VLOOKUP(D140,Combined!$C$1:$J$501,8,FALSE)</f>
        <v>4</v>
      </c>
      <c r="N140" t="s">
        <v>532</v>
      </c>
      <c r="O140">
        <v>3</v>
      </c>
    </row>
    <row r="141" spans="1:15">
      <c r="A141" s="8" t="s">
        <v>670</v>
      </c>
      <c r="B141" s="7" t="str">
        <f>VLOOKUP(A141,Combined!$A$1:$C$501,2,FALSE)</f>
        <v>S023</v>
      </c>
      <c r="C141" s="7" t="s">
        <v>22</v>
      </c>
      <c r="D141" s="7" t="str">
        <f>VLOOKUP(A141,Combined!$A$1:$C$501,3,FALSE)</f>
        <v>C001</v>
      </c>
      <c r="E141" t="str">
        <f>VLOOKUP(D141,Combined!$C$1:$H$501,6,FALSE)</f>
        <v>Data Structures</v>
      </c>
      <c r="F141">
        <f>VLOOKUP(D141,Combined!$C$1:$J$501,8,FALSE)</f>
        <v>3</v>
      </c>
      <c r="N141" t="s">
        <v>581</v>
      </c>
      <c r="O141">
        <v>4</v>
      </c>
    </row>
    <row r="142" spans="1:15">
      <c r="A142" s="8" t="s">
        <v>678</v>
      </c>
      <c r="B142" s="7" t="str">
        <f>VLOOKUP(A142,Combined!$A$1:$C$501,2,FALSE)</f>
        <v>S023</v>
      </c>
      <c r="C142" s="7" t="s">
        <v>22</v>
      </c>
      <c r="D142" s="7" t="str">
        <f>VLOOKUP(A142,Combined!$A$1:$C$501,3,FALSE)</f>
        <v>C010</v>
      </c>
      <c r="E142" t="str">
        <f>VLOOKUP(D142,Combined!$C$1:$H$501,6,FALSE)</f>
        <v>Finance</v>
      </c>
      <c r="F142">
        <f>VLOOKUP(D142,Combined!$C$1:$J$501,8,FALSE)</f>
        <v>4</v>
      </c>
      <c r="N142" t="s">
        <v>586</v>
      </c>
      <c r="O142">
        <v>4</v>
      </c>
    </row>
    <row r="143" spans="1:15">
      <c r="A143" s="9" t="s">
        <v>261</v>
      </c>
      <c r="B143" s="7" t="str">
        <f>VLOOKUP(A143,Combined!$A$1:$C$501,2,FALSE)</f>
        <v>S024</v>
      </c>
      <c r="C143" s="7" t="s">
        <v>47</v>
      </c>
      <c r="D143" s="7" t="str">
        <f>VLOOKUP(A143,Combined!$A$1:$C$501,3,FALSE)</f>
        <v>C001</v>
      </c>
      <c r="E143" t="str">
        <f>VLOOKUP(D143,Combined!$C$1:$H$501,6,FALSE)</f>
        <v>Data Structures</v>
      </c>
      <c r="F143">
        <f>VLOOKUP(D143,Combined!$C$1:$J$501,8,FALSE)</f>
        <v>3</v>
      </c>
      <c r="N143" t="s">
        <v>661</v>
      </c>
      <c r="O143">
        <v>4</v>
      </c>
    </row>
    <row r="144" spans="1:15">
      <c r="A144" s="9" t="s">
        <v>285</v>
      </c>
      <c r="B144" s="7" t="str">
        <f>VLOOKUP(A144,Combined!$A$1:$C$501,2,FALSE)</f>
        <v>S024</v>
      </c>
      <c r="C144" s="7" t="s">
        <v>47</v>
      </c>
      <c r="D144" s="7" t="str">
        <f>VLOOKUP(A144,Combined!$A$1:$C$501,3,FALSE)</f>
        <v>C008</v>
      </c>
      <c r="E144" t="str">
        <f>VLOOKUP(D144,Combined!$C$1:$H$501,6,FALSE)</f>
        <v>Structural Analysis</v>
      </c>
      <c r="F144">
        <f>VLOOKUP(D144,Combined!$C$1:$J$501,8,FALSE)</f>
        <v>4</v>
      </c>
      <c r="N144" t="s">
        <v>674</v>
      </c>
      <c r="O144">
        <v>3</v>
      </c>
    </row>
    <row r="145" spans="1:15">
      <c r="A145" s="8" t="s">
        <v>516</v>
      </c>
      <c r="B145" s="7" t="str">
        <f>VLOOKUP(A145,Combined!$A$1:$C$501,2,FALSE)</f>
        <v>S024</v>
      </c>
      <c r="C145" s="7" t="s">
        <v>47</v>
      </c>
      <c r="D145" s="7" t="str">
        <f>VLOOKUP(A145,Combined!$A$1:$C$501,3,FALSE)</f>
        <v>C010</v>
      </c>
      <c r="E145" t="str">
        <f>VLOOKUP(D145,Combined!$C$1:$H$501,6,FALSE)</f>
        <v>Finance</v>
      </c>
      <c r="F145">
        <f>VLOOKUP(D145,Combined!$C$1:$J$501,8,FALSE)</f>
        <v>4</v>
      </c>
      <c r="M145" t="s">
        <v>41</v>
      </c>
      <c r="O145">
        <v>11</v>
      </c>
    </row>
    <row r="146" spans="1:15">
      <c r="A146" s="8" t="s">
        <v>560</v>
      </c>
      <c r="B146" s="7" t="str">
        <f>VLOOKUP(A146,Combined!$A$1:$C$501,2,FALSE)</f>
        <v>S024</v>
      </c>
      <c r="C146" s="7" t="s">
        <v>47</v>
      </c>
      <c r="D146" s="7" t="str">
        <f>VLOOKUP(A146,Combined!$A$1:$C$501,3,FALSE)</f>
        <v>C008</v>
      </c>
      <c r="E146" t="str">
        <f>VLOOKUP(D146,Combined!$C$1:$H$501,6,FALSE)</f>
        <v>Structural Analysis</v>
      </c>
      <c r="F146">
        <f>VLOOKUP(D146,Combined!$C$1:$J$501,8,FALSE)</f>
        <v>4</v>
      </c>
      <c r="N146" t="s">
        <v>483</v>
      </c>
      <c r="O146">
        <v>3</v>
      </c>
    </row>
    <row r="147" spans="1:15">
      <c r="A147" s="9" t="s">
        <v>671</v>
      </c>
      <c r="B147" s="7" t="str">
        <f>VLOOKUP(A147,Combined!$A$1:$C$501,2,FALSE)</f>
        <v>S024</v>
      </c>
      <c r="C147" s="7" t="s">
        <v>47</v>
      </c>
      <c r="D147" s="7" t="str">
        <f>VLOOKUP(A147,Combined!$A$1:$C$501,3,FALSE)</f>
        <v>C005</v>
      </c>
      <c r="E147" t="str">
        <f>VLOOKUP(D147,Combined!$C$1:$H$501,6,FALSE)</f>
        <v>AI &amp; ML</v>
      </c>
      <c r="F147">
        <f>VLOOKUP(D147,Combined!$C$1:$J$501,8,FALSE)</f>
        <v>3</v>
      </c>
      <c r="N147" t="s">
        <v>570</v>
      </c>
      <c r="O147">
        <v>4</v>
      </c>
    </row>
    <row r="148" spans="1:15">
      <c r="A148" s="8" t="s">
        <v>224</v>
      </c>
      <c r="B148" s="7" t="str">
        <f>VLOOKUP(A148,Combined!$A$1:$C$501,2,FALSE)</f>
        <v>S025</v>
      </c>
      <c r="C148" s="7" t="s">
        <v>20</v>
      </c>
      <c r="D148" s="7" t="str">
        <f>VLOOKUP(A148,Combined!$A$1:$C$501,3,FALSE)</f>
        <v>C007</v>
      </c>
      <c r="E148" t="str">
        <f>VLOOKUP(D148,Combined!$C$1:$H$501,6,FALSE)</f>
        <v>Digital Logic</v>
      </c>
      <c r="F148">
        <f>VLOOKUP(D148,Combined!$C$1:$J$501,8,FALSE)</f>
        <v>3</v>
      </c>
      <c r="N148" t="s">
        <v>644</v>
      </c>
      <c r="O148">
        <v>4</v>
      </c>
    </row>
    <row r="149" spans="1:15">
      <c r="A149" s="8" t="s">
        <v>298</v>
      </c>
      <c r="B149" s="7" t="str">
        <f>VLOOKUP(A149,Combined!$A$1:$C$501,2,FALSE)</f>
        <v>S025</v>
      </c>
      <c r="C149" s="7" t="s">
        <v>20</v>
      </c>
      <c r="D149" s="7" t="str">
        <f>VLOOKUP(A149,Combined!$A$1:$C$501,3,FALSE)</f>
        <v>C004</v>
      </c>
      <c r="E149" t="str">
        <f>VLOOKUP(D149,Combined!$C$1:$H$501,6,FALSE)</f>
        <v>Circuits</v>
      </c>
      <c r="F149">
        <f>VLOOKUP(D149,Combined!$C$1:$J$501,8,FALSE)</f>
        <v>4</v>
      </c>
      <c r="M149" t="s">
        <v>42</v>
      </c>
      <c r="O149">
        <v>4</v>
      </c>
    </row>
    <row r="150" spans="1:15">
      <c r="A150" s="9" t="s">
        <v>645</v>
      </c>
      <c r="B150" s="7" t="str">
        <f>VLOOKUP(A150,Combined!$A$1:$C$501,2,FALSE)</f>
        <v>S025</v>
      </c>
      <c r="C150" s="7" t="s">
        <v>20</v>
      </c>
      <c r="D150" s="7" t="str">
        <f>VLOOKUP(A150,Combined!$A$1:$C$501,3,FALSE)</f>
        <v>C001</v>
      </c>
      <c r="E150" t="str">
        <f>VLOOKUP(D150,Combined!$C$1:$H$501,6,FALSE)</f>
        <v>Data Structures</v>
      </c>
      <c r="F150">
        <f>VLOOKUP(D150,Combined!$C$1:$J$501,8,FALSE)</f>
        <v>3</v>
      </c>
      <c r="N150" t="s">
        <v>356</v>
      </c>
      <c r="O150">
        <v>4</v>
      </c>
    </row>
    <row r="151" spans="1:15">
      <c r="A151" s="8" t="s">
        <v>652</v>
      </c>
      <c r="B151" s="7" t="str">
        <f>VLOOKUP(A151,Combined!$A$1:$C$501,2,FALSE)</f>
        <v>S025</v>
      </c>
      <c r="C151" s="7" t="s">
        <v>20</v>
      </c>
      <c r="D151" s="7" t="str">
        <f>VLOOKUP(A151,Combined!$A$1:$C$501,3,FALSE)</f>
        <v>C004</v>
      </c>
      <c r="E151" t="str">
        <f>VLOOKUP(D151,Combined!$C$1:$H$501,6,FALSE)</f>
        <v>Circuits</v>
      </c>
      <c r="F151">
        <f>VLOOKUP(D151,Combined!$C$1:$J$501,8,FALSE)</f>
        <v>4</v>
      </c>
      <c r="M151" t="s">
        <v>43</v>
      </c>
      <c r="O151">
        <v>7</v>
      </c>
    </row>
    <row r="152" spans="1:15">
      <c r="A152" s="9" t="s">
        <v>675</v>
      </c>
      <c r="B152" s="7" t="str">
        <f>VLOOKUP(A152,Combined!$A$1:$C$501,2,FALSE)</f>
        <v>S025</v>
      </c>
      <c r="C152" s="7" t="s">
        <v>20</v>
      </c>
      <c r="D152" s="7" t="str">
        <f>VLOOKUP(A152,Combined!$A$1:$C$501,3,FALSE)</f>
        <v>C002</v>
      </c>
      <c r="E152" t="str">
        <f>VLOOKUP(D152,Combined!$C$1:$H$501,6,FALSE)</f>
        <v>DBMS</v>
      </c>
      <c r="F152">
        <f>VLOOKUP(D152,Combined!$C$1:$J$501,8,FALSE)</f>
        <v>4</v>
      </c>
      <c r="N152" t="s">
        <v>522</v>
      </c>
      <c r="O152">
        <v>4</v>
      </c>
    </row>
    <row r="153" spans="1:15">
      <c r="A153" s="8" t="s">
        <v>232</v>
      </c>
      <c r="B153" s="7" t="str">
        <f>VLOOKUP(A153,Combined!$A$1:$C$501,2,FALSE)</f>
        <v>S026</v>
      </c>
      <c r="C153" s="7" t="s">
        <v>50</v>
      </c>
      <c r="D153" s="7" t="str">
        <f>VLOOKUP(A153,Combined!$A$1:$C$501,3,FALSE)</f>
        <v>C003</v>
      </c>
      <c r="E153" t="str">
        <f>VLOOKUP(D153,Combined!$C$1:$H$501,6,FALSE)</f>
        <v>Thermodynamics</v>
      </c>
      <c r="F153">
        <f>VLOOKUP(D153,Combined!$C$1:$J$501,8,FALSE)</f>
        <v>3</v>
      </c>
      <c r="N153" t="s">
        <v>687</v>
      </c>
      <c r="O153">
        <v>3</v>
      </c>
    </row>
    <row r="154" spans="1:15">
      <c r="A154" s="9" t="s">
        <v>553</v>
      </c>
      <c r="B154" s="7" t="str">
        <f>VLOOKUP(A154,Combined!$A$1:$C$501,2,FALSE)</f>
        <v>S026</v>
      </c>
      <c r="C154" s="7" t="s">
        <v>50</v>
      </c>
      <c r="D154" s="7" t="str">
        <f>VLOOKUP(A154,Combined!$A$1:$C$501,3,FALSE)</f>
        <v>C001</v>
      </c>
      <c r="E154" t="str">
        <f>VLOOKUP(D154,Combined!$C$1:$H$501,6,FALSE)</f>
        <v>Data Structures</v>
      </c>
      <c r="F154">
        <f>VLOOKUP(D154,Combined!$C$1:$J$501,8,FALSE)</f>
        <v>3</v>
      </c>
      <c r="M154" t="s">
        <v>44</v>
      </c>
      <c r="O154">
        <v>20</v>
      </c>
    </row>
    <row r="155" spans="1:15">
      <c r="A155" s="8" t="s">
        <v>660</v>
      </c>
      <c r="B155" s="7" t="str">
        <f>VLOOKUP(A155,Combined!$A$1:$C$501,2,FALSE)</f>
        <v>S026</v>
      </c>
      <c r="C155" s="7" t="s">
        <v>50</v>
      </c>
      <c r="D155" s="7" t="str">
        <f>VLOOKUP(A155,Combined!$A$1:$C$501,3,FALSE)</f>
        <v>C009</v>
      </c>
      <c r="E155" t="str">
        <f>VLOOKUP(D155,Combined!$C$1:$H$501,6,FALSE)</f>
        <v>Marketing</v>
      </c>
      <c r="F155">
        <f>VLOOKUP(D155,Combined!$C$1:$J$501,8,FALSE)</f>
        <v>3</v>
      </c>
      <c r="N155" t="s">
        <v>376</v>
      </c>
      <c r="O155">
        <v>3</v>
      </c>
    </row>
    <row r="156" spans="1:15">
      <c r="A156" s="9" t="s">
        <v>227</v>
      </c>
      <c r="B156" s="7" t="str">
        <f>VLOOKUP(A156,Combined!$A$1:$C$501,2,FALSE)</f>
        <v>S027</v>
      </c>
      <c r="C156" s="7" t="s">
        <v>20</v>
      </c>
      <c r="D156" s="7" t="str">
        <f>VLOOKUP(A156,Combined!$A$1:$C$501,3,FALSE)</f>
        <v>C007</v>
      </c>
      <c r="E156" t="str">
        <f>VLOOKUP(D156,Combined!$C$1:$H$501,6,FALSE)</f>
        <v>Digital Logic</v>
      </c>
      <c r="F156">
        <f>VLOOKUP(D156,Combined!$C$1:$J$501,8,FALSE)</f>
        <v>3</v>
      </c>
      <c r="N156" t="s">
        <v>395</v>
      </c>
      <c r="O156">
        <v>3</v>
      </c>
    </row>
    <row r="157" spans="1:15">
      <c r="A157" s="9" t="s">
        <v>251</v>
      </c>
      <c r="B157" s="7" t="str">
        <f>VLOOKUP(A157,Combined!$A$1:$C$501,2,FALSE)</f>
        <v>S027</v>
      </c>
      <c r="C157" s="7" t="s">
        <v>20</v>
      </c>
      <c r="D157" s="7" t="str">
        <f>VLOOKUP(A157,Combined!$A$1:$C$501,3,FALSE)</f>
        <v>C007</v>
      </c>
      <c r="E157" t="str">
        <f>VLOOKUP(D157,Combined!$C$1:$H$501,6,FALSE)</f>
        <v>Digital Logic</v>
      </c>
      <c r="F157">
        <f>VLOOKUP(D157,Combined!$C$1:$J$501,8,FALSE)</f>
        <v>3</v>
      </c>
      <c r="N157" t="s">
        <v>596</v>
      </c>
      <c r="O157">
        <v>3</v>
      </c>
    </row>
    <row r="158" spans="1:15">
      <c r="A158" s="8" t="s">
        <v>344</v>
      </c>
      <c r="B158" s="7" t="str">
        <f>VLOOKUP(A158,Combined!$A$1:$C$501,2,FALSE)</f>
        <v>S027</v>
      </c>
      <c r="C158" s="7" t="s">
        <v>20</v>
      </c>
      <c r="D158" s="7" t="str">
        <f>VLOOKUP(A158,Combined!$A$1:$C$501,3,FALSE)</f>
        <v>C005</v>
      </c>
      <c r="E158" t="str">
        <f>VLOOKUP(D158,Combined!$C$1:$H$501,6,FALSE)</f>
        <v>AI &amp; ML</v>
      </c>
      <c r="F158">
        <f>VLOOKUP(D158,Combined!$C$1:$J$501,8,FALSE)</f>
        <v>3</v>
      </c>
      <c r="N158" t="s">
        <v>601</v>
      </c>
      <c r="O158">
        <v>4</v>
      </c>
    </row>
    <row r="159" spans="1:15">
      <c r="A159" s="9" t="s">
        <v>609</v>
      </c>
      <c r="B159" s="7" t="str">
        <f>VLOOKUP(A159,Combined!$A$1:$C$501,2,FALSE)</f>
        <v>S027</v>
      </c>
      <c r="C159" s="7" t="s">
        <v>20</v>
      </c>
      <c r="D159" s="7" t="str">
        <f>VLOOKUP(A159,Combined!$A$1:$C$501,3,FALSE)</f>
        <v>C006</v>
      </c>
      <c r="E159" t="str">
        <f>VLOOKUP(D159,Combined!$C$1:$H$501,6,FALSE)</f>
        <v>Fluid Mechanics</v>
      </c>
      <c r="F159">
        <f>VLOOKUP(D159,Combined!$C$1:$J$501,8,FALSE)</f>
        <v>4</v>
      </c>
      <c r="N159" t="s">
        <v>643</v>
      </c>
      <c r="O159">
        <v>3</v>
      </c>
    </row>
    <row r="160" spans="1:15">
      <c r="A160" s="8" t="s">
        <v>266</v>
      </c>
      <c r="B160" s="7" t="str">
        <f>VLOOKUP(A160,Combined!$A$1:$C$501,2,FALSE)</f>
        <v>S029</v>
      </c>
      <c r="C160" s="7" t="s">
        <v>37</v>
      </c>
      <c r="D160" s="7" t="str">
        <f>VLOOKUP(A160,Combined!$A$1:$C$501,3,FALSE)</f>
        <v>C002</v>
      </c>
      <c r="E160" t="str">
        <f>VLOOKUP(D160,Combined!$C$1:$H$501,6,FALSE)</f>
        <v>DBMS</v>
      </c>
      <c r="F160">
        <f>VLOOKUP(D160,Combined!$C$1:$J$501,8,FALSE)</f>
        <v>4</v>
      </c>
      <c r="N160" t="s">
        <v>696</v>
      </c>
      <c r="O160">
        <v>4</v>
      </c>
    </row>
    <row r="161" spans="1:15">
      <c r="A161" s="9" t="s">
        <v>291</v>
      </c>
      <c r="B161" s="7" t="str">
        <f>VLOOKUP(A161,Combined!$A$1:$C$501,2,FALSE)</f>
        <v>S029</v>
      </c>
      <c r="C161" s="7" t="s">
        <v>37</v>
      </c>
      <c r="D161" s="7" t="str">
        <f>VLOOKUP(A161,Combined!$A$1:$C$501,3,FALSE)</f>
        <v>C007</v>
      </c>
      <c r="E161" t="str">
        <f>VLOOKUP(D161,Combined!$C$1:$H$501,6,FALSE)</f>
        <v>Digital Logic</v>
      </c>
      <c r="F161">
        <f>VLOOKUP(D161,Combined!$C$1:$J$501,8,FALSE)</f>
        <v>3</v>
      </c>
      <c r="M161" t="s">
        <v>45</v>
      </c>
      <c r="O161">
        <v>14</v>
      </c>
    </row>
    <row r="162" spans="1:15">
      <c r="A162" s="9" t="s">
        <v>389</v>
      </c>
      <c r="B162" s="7" t="str">
        <f>VLOOKUP(A162,Combined!$A$1:$C$501,2,FALSE)</f>
        <v>S029</v>
      </c>
      <c r="C162" s="7" t="s">
        <v>37</v>
      </c>
      <c r="D162" s="7" t="str">
        <f>VLOOKUP(A162,Combined!$A$1:$C$501,3,FALSE)</f>
        <v>C004</v>
      </c>
      <c r="E162" t="str">
        <f>VLOOKUP(D162,Combined!$C$1:$H$501,6,FALSE)</f>
        <v>Circuits</v>
      </c>
      <c r="F162">
        <f>VLOOKUP(D162,Combined!$C$1:$J$501,8,FALSE)</f>
        <v>4</v>
      </c>
      <c r="N162" t="s">
        <v>317</v>
      </c>
      <c r="O162">
        <v>3</v>
      </c>
    </row>
    <row r="163" spans="1:15">
      <c r="A163" s="9" t="s">
        <v>653</v>
      </c>
      <c r="B163" s="7" t="str">
        <f>VLOOKUP(A163,Combined!$A$1:$C$501,2,FALSE)</f>
        <v>S029</v>
      </c>
      <c r="C163" s="7" t="s">
        <v>37</v>
      </c>
      <c r="D163" s="7" t="str">
        <f>VLOOKUP(A163,Combined!$A$1:$C$501,3,FALSE)</f>
        <v>C005</v>
      </c>
      <c r="E163" t="str">
        <f>VLOOKUP(D163,Combined!$C$1:$H$501,6,FALSE)</f>
        <v>AI &amp; ML</v>
      </c>
      <c r="F163">
        <f>VLOOKUP(D163,Combined!$C$1:$J$501,8,FALSE)</f>
        <v>3</v>
      </c>
      <c r="N163" t="s">
        <v>420</v>
      </c>
      <c r="O163">
        <v>4</v>
      </c>
    </row>
    <row r="164" spans="1:15">
      <c r="A164" s="8" t="s">
        <v>248</v>
      </c>
      <c r="B164" s="7" t="str">
        <f>VLOOKUP(A164,Combined!$A$1:$C$501,2,FALSE)</f>
        <v>S030</v>
      </c>
      <c r="C164" s="7" t="s">
        <v>28</v>
      </c>
      <c r="D164" s="7" t="str">
        <f>VLOOKUP(A164,Combined!$A$1:$C$501,3,FALSE)</f>
        <v>C007</v>
      </c>
      <c r="E164" t="str">
        <f>VLOOKUP(D164,Combined!$C$1:$H$501,6,FALSE)</f>
        <v>Digital Logic</v>
      </c>
      <c r="F164">
        <f>VLOOKUP(D164,Combined!$C$1:$J$501,8,FALSE)</f>
        <v>3</v>
      </c>
      <c r="N164" t="s">
        <v>670</v>
      </c>
      <c r="O164">
        <v>3</v>
      </c>
    </row>
    <row r="165" spans="1:15">
      <c r="A165" s="8" t="s">
        <v>370</v>
      </c>
      <c r="B165" s="7" t="str">
        <f>VLOOKUP(A165,Combined!$A$1:$C$501,2,FALSE)</f>
        <v>S030</v>
      </c>
      <c r="C165" s="7" t="s">
        <v>28</v>
      </c>
      <c r="D165" s="7" t="str">
        <f>VLOOKUP(A165,Combined!$A$1:$C$501,3,FALSE)</f>
        <v>C002</v>
      </c>
      <c r="E165" t="str">
        <f>VLOOKUP(D165,Combined!$C$1:$H$501,6,FALSE)</f>
        <v>DBMS</v>
      </c>
      <c r="F165">
        <f>VLOOKUP(D165,Combined!$C$1:$J$501,8,FALSE)</f>
        <v>4</v>
      </c>
      <c r="N165" t="s">
        <v>678</v>
      </c>
      <c r="O165">
        <v>4</v>
      </c>
    </row>
    <row r="166" spans="1:15">
      <c r="A166" s="8" t="s">
        <v>378</v>
      </c>
      <c r="B166" s="7" t="str">
        <f>VLOOKUP(A166,Combined!$A$1:$C$501,2,FALSE)</f>
        <v>S030</v>
      </c>
      <c r="C166" s="7" t="s">
        <v>28</v>
      </c>
      <c r="D166" s="7" t="str">
        <f>VLOOKUP(A166,Combined!$A$1:$C$501,3,FALSE)</f>
        <v>C008</v>
      </c>
      <c r="E166" t="str">
        <f>VLOOKUP(D166,Combined!$C$1:$H$501,6,FALSE)</f>
        <v>Structural Analysis</v>
      </c>
      <c r="F166">
        <f>VLOOKUP(D166,Combined!$C$1:$J$501,8,FALSE)</f>
        <v>4</v>
      </c>
      <c r="M166" t="s">
        <v>46</v>
      </c>
      <c r="O166">
        <v>18</v>
      </c>
    </row>
    <row r="167" spans="1:15">
      <c r="A167" s="8" t="s">
        <v>418</v>
      </c>
      <c r="B167" s="7" t="str">
        <f>VLOOKUP(A167,Combined!$A$1:$C$501,2,FALSE)</f>
        <v>S030</v>
      </c>
      <c r="C167" s="7" t="s">
        <v>28</v>
      </c>
      <c r="D167" s="7" t="str">
        <f>VLOOKUP(A167,Combined!$A$1:$C$501,3,FALSE)</f>
        <v>C006</v>
      </c>
      <c r="E167" t="str">
        <f>VLOOKUP(D167,Combined!$C$1:$H$501,6,FALSE)</f>
        <v>Fluid Mechanics</v>
      </c>
      <c r="F167">
        <f>VLOOKUP(D167,Combined!$C$1:$J$501,8,FALSE)</f>
        <v>4</v>
      </c>
      <c r="N167" t="s">
        <v>261</v>
      </c>
      <c r="O167">
        <v>3</v>
      </c>
    </row>
    <row r="168" spans="1:15">
      <c r="A168" s="9" t="s">
        <v>519</v>
      </c>
      <c r="B168" s="7" t="str">
        <f>VLOOKUP(A168,Combined!$A$1:$C$501,2,FALSE)</f>
        <v>S030</v>
      </c>
      <c r="C168" s="7" t="s">
        <v>28</v>
      </c>
      <c r="D168" s="7" t="str">
        <f>VLOOKUP(A168,Combined!$A$1:$C$501,3,FALSE)</f>
        <v>C009</v>
      </c>
      <c r="E168" t="str">
        <f>VLOOKUP(D168,Combined!$C$1:$H$501,6,FALSE)</f>
        <v>Marketing</v>
      </c>
      <c r="F168">
        <f>VLOOKUP(D168,Combined!$C$1:$J$501,8,FALSE)</f>
        <v>3</v>
      </c>
      <c r="N168" t="s">
        <v>285</v>
      </c>
      <c r="O168">
        <v>4</v>
      </c>
    </row>
    <row r="169" spans="1:15">
      <c r="A169" s="8" t="s">
        <v>246</v>
      </c>
      <c r="B169" s="7" t="str">
        <f>VLOOKUP(A169,Combined!$A$1:$C$501,2,FALSE)</f>
        <v>S031</v>
      </c>
      <c r="C169" s="7" t="s">
        <v>20</v>
      </c>
      <c r="D169" s="7" t="str">
        <f>VLOOKUP(A169,Combined!$A$1:$C$501,3,FALSE)</f>
        <v>C005</v>
      </c>
      <c r="E169" t="str">
        <f>VLOOKUP(D169,Combined!$C$1:$H$501,6,FALSE)</f>
        <v>AI &amp; ML</v>
      </c>
      <c r="F169">
        <f>VLOOKUP(D169,Combined!$C$1:$J$501,8,FALSE)</f>
        <v>3</v>
      </c>
      <c r="N169" t="s">
        <v>516</v>
      </c>
      <c r="O169">
        <v>4</v>
      </c>
    </row>
    <row r="170" spans="1:15">
      <c r="A170" s="8" t="s">
        <v>268</v>
      </c>
      <c r="B170" s="7" t="str">
        <f>VLOOKUP(A170,Combined!$A$1:$C$501,2,FALSE)</f>
        <v>S031</v>
      </c>
      <c r="C170" s="7" t="s">
        <v>20</v>
      </c>
      <c r="D170" s="7" t="str">
        <f>VLOOKUP(A170,Combined!$A$1:$C$501,3,FALSE)</f>
        <v>C003</v>
      </c>
      <c r="E170" t="str">
        <f>VLOOKUP(D170,Combined!$C$1:$H$501,6,FALSE)</f>
        <v>Thermodynamics</v>
      </c>
      <c r="F170">
        <f>VLOOKUP(D170,Combined!$C$1:$J$501,8,FALSE)</f>
        <v>3</v>
      </c>
      <c r="N170" t="s">
        <v>560</v>
      </c>
      <c r="O170">
        <v>4</v>
      </c>
    </row>
    <row r="171" spans="1:15">
      <c r="A171" s="8" t="s">
        <v>620</v>
      </c>
      <c r="B171" s="7" t="str">
        <f>VLOOKUP(A171,Combined!$A$1:$C$501,2,FALSE)</f>
        <v>S031</v>
      </c>
      <c r="C171" s="7" t="s">
        <v>20</v>
      </c>
      <c r="D171" s="7" t="str">
        <f>VLOOKUP(A171,Combined!$A$1:$C$501,3,FALSE)</f>
        <v>C004</v>
      </c>
      <c r="E171" t="str">
        <f>VLOOKUP(D171,Combined!$C$1:$H$501,6,FALSE)</f>
        <v>Circuits</v>
      </c>
      <c r="F171">
        <f>VLOOKUP(D171,Combined!$C$1:$J$501,8,FALSE)</f>
        <v>4</v>
      </c>
      <c r="N171" t="s">
        <v>671</v>
      </c>
      <c r="O171">
        <v>3</v>
      </c>
    </row>
    <row r="172" spans="1:15">
      <c r="A172" s="9" t="s">
        <v>233</v>
      </c>
      <c r="B172" s="7" t="str">
        <f>VLOOKUP(A172,Combined!$A$1:$C$501,2,FALSE)</f>
        <v>S032</v>
      </c>
      <c r="C172" s="7" t="s">
        <v>37</v>
      </c>
      <c r="D172" s="7" t="str">
        <f>VLOOKUP(A172,Combined!$A$1:$C$501,3,FALSE)</f>
        <v>C008</v>
      </c>
      <c r="E172" t="str">
        <f>VLOOKUP(D172,Combined!$C$1:$H$501,6,FALSE)</f>
        <v>Structural Analysis</v>
      </c>
      <c r="F172">
        <f>VLOOKUP(D172,Combined!$C$1:$J$501,8,FALSE)</f>
        <v>4</v>
      </c>
      <c r="M172" t="s">
        <v>48</v>
      </c>
      <c r="O172">
        <v>18</v>
      </c>
    </row>
    <row r="173" spans="1:15">
      <c r="A173" s="8" t="s">
        <v>236</v>
      </c>
      <c r="B173" s="7" t="str">
        <f>VLOOKUP(A173,Combined!$A$1:$C$501,2,FALSE)</f>
        <v>S032</v>
      </c>
      <c r="C173" s="7" t="s">
        <v>37</v>
      </c>
      <c r="D173" s="7" t="str">
        <f>VLOOKUP(A173,Combined!$A$1:$C$501,3,FALSE)</f>
        <v>C003</v>
      </c>
      <c r="E173" t="str">
        <f>VLOOKUP(D173,Combined!$C$1:$H$501,6,FALSE)</f>
        <v>Thermodynamics</v>
      </c>
      <c r="F173">
        <f>VLOOKUP(D173,Combined!$C$1:$J$501,8,FALSE)</f>
        <v>3</v>
      </c>
      <c r="N173" t="s">
        <v>224</v>
      </c>
      <c r="O173">
        <v>3</v>
      </c>
    </row>
    <row r="174" spans="1:15">
      <c r="A174" s="9" t="s">
        <v>267</v>
      </c>
      <c r="B174" s="7" t="str">
        <f>VLOOKUP(A174,Combined!$A$1:$C$501,2,FALSE)</f>
        <v>S032</v>
      </c>
      <c r="C174" s="7" t="s">
        <v>37</v>
      </c>
      <c r="D174" s="7" t="str">
        <f>VLOOKUP(A174,Combined!$A$1:$C$501,3,FALSE)</f>
        <v>C004</v>
      </c>
      <c r="E174" t="str">
        <f>VLOOKUP(D174,Combined!$C$1:$H$501,6,FALSE)</f>
        <v>Circuits</v>
      </c>
      <c r="F174">
        <f>VLOOKUP(D174,Combined!$C$1:$J$501,8,FALSE)</f>
        <v>4</v>
      </c>
      <c r="N174" t="s">
        <v>298</v>
      </c>
      <c r="O174">
        <v>4</v>
      </c>
    </row>
    <row r="175" spans="1:15">
      <c r="A175" s="8" t="s">
        <v>282</v>
      </c>
      <c r="B175" s="7" t="str">
        <f>VLOOKUP(A175,Combined!$A$1:$C$501,2,FALSE)</f>
        <v>S032</v>
      </c>
      <c r="C175" s="7" t="s">
        <v>37</v>
      </c>
      <c r="D175" s="7" t="str">
        <f>VLOOKUP(A175,Combined!$A$1:$C$501,3,FALSE)</f>
        <v>C002</v>
      </c>
      <c r="E175" t="str">
        <f>VLOOKUP(D175,Combined!$C$1:$H$501,6,FALSE)</f>
        <v>DBMS</v>
      </c>
      <c r="F175">
        <f>VLOOKUP(D175,Combined!$C$1:$J$501,8,FALSE)</f>
        <v>4</v>
      </c>
      <c r="N175" t="s">
        <v>645</v>
      </c>
      <c r="O175">
        <v>3</v>
      </c>
    </row>
    <row r="176" spans="1:15">
      <c r="A176" s="9" t="s">
        <v>283</v>
      </c>
      <c r="B176" s="7" t="str">
        <f>VLOOKUP(A176,Combined!$A$1:$C$501,2,FALSE)</f>
        <v>S032</v>
      </c>
      <c r="C176" s="7" t="s">
        <v>37</v>
      </c>
      <c r="D176" s="7" t="str">
        <f>VLOOKUP(A176,Combined!$A$1:$C$501,3,FALSE)</f>
        <v>C008</v>
      </c>
      <c r="E176" t="str">
        <f>VLOOKUP(D176,Combined!$C$1:$H$501,6,FALSE)</f>
        <v>Structural Analysis</v>
      </c>
      <c r="F176">
        <f>VLOOKUP(D176,Combined!$C$1:$J$501,8,FALSE)</f>
        <v>4</v>
      </c>
      <c r="N176" t="s">
        <v>652</v>
      </c>
      <c r="O176">
        <v>4</v>
      </c>
    </row>
    <row r="177" spans="1:15">
      <c r="A177" s="8" t="s">
        <v>662</v>
      </c>
      <c r="B177" s="7" t="str">
        <f>VLOOKUP(A177,Combined!$A$1:$C$501,2,FALSE)</f>
        <v>S032</v>
      </c>
      <c r="C177" s="7" t="s">
        <v>37</v>
      </c>
      <c r="D177" s="7" t="str">
        <f>VLOOKUP(A177,Combined!$A$1:$C$501,3,FALSE)</f>
        <v>C001</v>
      </c>
      <c r="E177" t="str">
        <f>VLOOKUP(D177,Combined!$C$1:$H$501,6,FALSE)</f>
        <v>Data Structures</v>
      </c>
      <c r="F177">
        <f>VLOOKUP(D177,Combined!$C$1:$J$501,8,FALSE)</f>
        <v>3</v>
      </c>
      <c r="N177" t="s">
        <v>675</v>
      </c>
      <c r="O177">
        <v>4</v>
      </c>
    </row>
    <row r="178" spans="1:15">
      <c r="A178" s="8" t="s">
        <v>264</v>
      </c>
      <c r="B178" s="7" t="str">
        <f>VLOOKUP(A178,Combined!$A$1:$C$501,2,FALSE)</f>
        <v>S033</v>
      </c>
      <c r="C178" s="7" t="s">
        <v>28</v>
      </c>
      <c r="D178" s="7" t="str">
        <f>VLOOKUP(A178,Combined!$A$1:$C$501,3,FALSE)</f>
        <v>C002</v>
      </c>
      <c r="E178" t="str">
        <f>VLOOKUP(D178,Combined!$C$1:$H$501,6,FALSE)</f>
        <v>DBMS</v>
      </c>
      <c r="F178">
        <f>VLOOKUP(D178,Combined!$C$1:$J$501,8,FALSE)</f>
        <v>4</v>
      </c>
      <c r="M178" t="s">
        <v>49</v>
      </c>
      <c r="O178">
        <v>9</v>
      </c>
    </row>
    <row r="179" spans="1:15">
      <c r="A179" s="8" t="s">
        <v>296</v>
      </c>
      <c r="B179" s="7" t="str">
        <f>VLOOKUP(A179,Combined!$A$1:$C$501,2,FALSE)</f>
        <v>S033</v>
      </c>
      <c r="C179" s="7" t="s">
        <v>28</v>
      </c>
      <c r="D179" s="7" t="str">
        <f>VLOOKUP(A179,Combined!$A$1:$C$501,3,FALSE)</f>
        <v>C004</v>
      </c>
      <c r="E179" t="str">
        <f>VLOOKUP(D179,Combined!$C$1:$H$501,6,FALSE)</f>
        <v>Circuits</v>
      </c>
      <c r="F179">
        <f>VLOOKUP(D179,Combined!$C$1:$J$501,8,FALSE)</f>
        <v>4</v>
      </c>
      <c r="N179" t="s">
        <v>232</v>
      </c>
      <c r="O179">
        <v>3</v>
      </c>
    </row>
    <row r="180" spans="1:15">
      <c r="A180" s="9" t="s">
        <v>379</v>
      </c>
      <c r="B180" s="7" t="str">
        <f>VLOOKUP(A180,Combined!$A$1:$C$501,2,FALSE)</f>
        <v>S033</v>
      </c>
      <c r="C180" s="7" t="s">
        <v>28</v>
      </c>
      <c r="D180" s="7" t="str">
        <f>VLOOKUP(A180,Combined!$A$1:$C$501,3,FALSE)</f>
        <v>C001</v>
      </c>
      <c r="E180" t="str">
        <f>VLOOKUP(D180,Combined!$C$1:$H$501,6,FALSE)</f>
        <v>Data Structures</v>
      </c>
      <c r="F180">
        <f>VLOOKUP(D180,Combined!$C$1:$J$501,8,FALSE)</f>
        <v>3</v>
      </c>
      <c r="N180" t="s">
        <v>553</v>
      </c>
      <c r="O180">
        <v>3</v>
      </c>
    </row>
    <row r="181" spans="1:15">
      <c r="A181" s="8" t="s">
        <v>504</v>
      </c>
      <c r="B181" s="7" t="str">
        <f>VLOOKUP(A181,Combined!$A$1:$C$501,2,FALSE)</f>
        <v>S033</v>
      </c>
      <c r="C181" s="7" t="s">
        <v>28</v>
      </c>
      <c r="D181" s="7" t="str">
        <f>VLOOKUP(A181,Combined!$A$1:$C$501,3,FALSE)</f>
        <v>C010</v>
      </c>
      <c r="E181" t="str">
        <f>VLOOKUP(D181,Combined!$C$1:$H$501,6,FALSE)</f>
        <v>Finance</v>
      </c>
      <c r="F181">
        <f>VLOOKUP(D181,Combined!$C$1:$J$501,8,FALSE)</f>
        <v>4</v>
      </c>
      <c r="N181" t="s">
        <v>660</v>
      </c>
      <c r="O181">
        <v>3</v>
      </c>
    </row>
    <row r="182" spans="1:15">
      <c r="A182" s="9" t="s">
        <v>523</v>
      </c>
      <c r="B182" s="7" t="str">
        <f>VLOOKUP(A182,Combined!$A$1:$C$501,2,FALSE)</f>
        <v>S033</v>
      </c>
      <c r="C182" s="7" t="s">
        <v>28</v>
      </c>
      <c r="D182" s="7" t="str">
        <f>VLOOKUP(A182,Combined!$A$1:$C$501,3,FALSE)</f>
        <v>C001</v>
      </c>
      <c r="E182" t="str">
        <f>VLOOKUP(D182,Combined!$C$1:$H$501,6,FALSE)</f>
        <v>Data Structures</v>
      </c>
      <c r="F182">
        <f>VLOOKUP(D182,Combined!$C$1:$J$501,8,FALSE)</f>
        <v>3</v>
      </c>
      <c r="M182" t="s">
        <v>51</v>
      </c>
      <c r="O182">
        <v>13</v>
      </c>
    </row>
    <row r="183" spans="1:15">
      <c r="A183" s="9" t="s">
        <v>535</v>
      </c>
      <c r="B183" s="7" t="str">
        <f>VLOOKUP(A183,Combined!$A$1:$C$501,2,FALSE)</f>
        <v>S033</v>
      </c>
      <c r="C183" s="7" t="s">
        <v>28</v>
      </c>
      <c r="D183" s="7" t="str">
        <f>VLOOKUP(A183,Combined!$A$1:$C$501,3,FALSE)</f>
        <v>C004</v>
      </c>
      <c r="E183" t="str">
        <f>VLOOKUP(D183,Combined!$C$1:$H$501,6,FALSE)</f>
        <v>Circuits</v>
      </c>
      <c r="F183">
        <f>VLOOKUP(D183,Combined!$C$1:$J$501,8,FALSE)</f>
        <v>4</v>
      </c>
      <c r="N183" t="s">
        <v>227</v>
      </c>
      <c r="O183">
        <v>3</v>
      </c>
    </row>
    <row r="184" spans="1:15">
      <c r="A184" s="8" t="s">
        <v>598</v>
      </c>
      <c r="B184" s="7" t="str">
        <f>VLOOKUP(A184,Combined!$A$1:$C$501,2,FALSE)</f>
        <v>S033</v>
      </c>
      <c r="C184" s="7" t="s">
        <v>28</v>
      </c>
      <c r="D184" s="7" t="str">
        <f>VLOOKUP(A184,Combined!$A$1:$C$501,3,FALSE)</f>
        <v>C004</v>
      </c>
      <c r="E184" t="str">
        <f>VLOOKUP(D184,Combined!$C$1:$H$501,6,FALSE)</f>
        <v>Circuits</v>
      </c>
      <c r="F184">
        <f>VLOOKUP(D184,Combined!$C$1:$J$501,8,FALSE)</f>
        <v>4</v>
      </c>
      <c r="N184" t="s">
        <v>251</v>
      </c>
      <c r="O184">
        <v>3</v>
      </c>
    </row>
    <row r="185" spans="1:15">
      <c r="A185" s="8" t="s">
        <v>702</v>
      </c>
      <c r="B185" s="7" t="str">
        <f>VLOOKUP(A185,Combined!$A$1:$C$501,2,FALSE)</f>
        <v>S033</v>
      </c>
      <c r="C185" s="7" t="s">
        <v>28</v>
      </c>
      <c r="D185" s="7" t="str">
        <f>VLOOKUP(A185,Combined!$A$1:$C$501,3,FALSE)</f>
        <v>C001</v>
      </c>
      <c r="E185" t="str">
        <f>VLOOKUP(D185,Combined!$C$1:$H$501,6,FALSE)</f>
        <v>Data Structures</v>
      </c>
      <c r="F185">
        <f>VLOOKUP(D185,Combined!$C$1:$J$501,8,FALSE)</f>
        <v>3</v>
      </c>
      <c r="N185" t="s">
        <v>344</v>
      </c>
      <c r="O185">
        <v>3</v>
      </c>
    </row>
    <row r="186" spans="1:15">
      <c r="A186" s="8" t="s">
        <v>286</v>
      </c>
      <c r="B186" s="7" t="str">
        <f>VLOOKUP(A186,Combined!$A$1:$C$501,2,FALSE)</f>
        <v>S034</v>
      </c>
      <c r="C186" s="7" t="s">
        <v>22</v>
      </c>
      <c r="D186" s="7" t="str">
        <f>VLOOKUP(A186,Combined!$A$1:$C$501,3,FALSE)</f>
        <v>C006</v>
      </c>
      <c r="E186" t="str">
        <f>VLOOKUP(D186,Combined!$C$1:$H$501,6,FALSE)</f>
        <v>Fluid Mechanics</v>
      </c>
      <c r="F186">
        <f>VLOOKUP(D186,Combined!$C$1:$J$501,8,FALSE)</f>
        <v>4</v>
      </c>
      <c r="N186" t="s">
        <v>609</v>
      </c>
      <c r="O186">
        <v>4</v>
      </c>
    </row>
    <row r="187" spans="1:15">
      <c r="A187" s="8" t="s">
        <v>316</v>
      </c>
      <c r="B187" s="7" t="str">
        <f>VLOOKUP(A187,Combined!$A$1:$C$501,2,FALSE)</f>
        <v>S034</v>
      </c>
      <c r="C187" s="7" t="s">
        <v>22</v>
      </c>
      <c r="D187" s="7" t="str">
        <f>VLOOKUP(A187,Combined!$A$1:$C$501,3,FALSE)</f>
        <v>C002</v>
      </c>
      <c r="E187" t="str">
        <f>VLOOKUP(D187,Combined!$C$1:$H$501,6,FALSE)</f>
        <v>DBMS</v>
      </c>
      <c r="F187">
        <f>VLOOKUP(D187,Combined!$C$1:$J$501,8,FALSE)</f>
        <v>4</v>
      </c>
      <c r="M187" t="s">
        <v>53</v>
      </c>
      <c r="O187">
        <v>14</v>
      </c>
    </row>
    <row r="188" spans="1:15">
      <c r="A188" s="8" t="s">
        <v>682</v>
      </c>
      <c r="B188" s="7" t="str">
        <f>VLOOKUP(A188,Combined!$A$1:$C$501,2,FALSE)</f>
        <v>S034</v>
      </c>
      <c r="C188" s="7" t="s">
        <v>22</v>
      </c>
      <c r="D188" s="7" t="str">
        <f>VLOOKUP(A188,Combined!$A$1:$C$501,3,FALSE)</f>
        <v>C007</v>
      </c>
      <c r="E188" t="str">
        <f>VLOOKUP(D188,Combined!$C$1:$H$501,6,FALSE)</f>
        <v>Digital Logic</v>
      </c>
      <c r="F188">
        <f>VLOOKUP(D188,Combined!$C$1:$J$501,8,FALSE)</f>
        <v>3</v>
      </c>
      <c r="N188" t="s">
        <v>266</v>
      </c>
      <c r="O188">
        <v>4</v>
      </c>
    </row>
    <row r="189" spans="1:15">
      <c r="A189" s="9" t="s">
        <v>327</v>
      </c>
      <c r="B189" s="7" t="str">
        <f>VLOOKUP(A189,Combined!$A$1:$C$501,2,FALSE)</f>
        <v>S035</v>
      </c>
      <c r="C189" s="7" t="s">
        <v>14</v>
      </c>
      <c r="D189" s="7" t="str">
        <f>VLOOKUP(A189,Combined!$A$1:$C$501,3,FALSE)</f>
        <v>C009</v>
      </c>
      <c r="E189" t="str">
        <f>VLOOKUP(D189,Combined!$C$1:$H$501,6,FALSE)</f>
        <v>Marketing</v>
      </c>
      <c r="F189">
        <f>VLOOKUP(D189,Combined!$C$1:$J$501,8,FALSE)</f>
        <v>3</v>
      </c>
      <c r="N189" t="s">
        <v>291</v>
      </c>
      <c r="O189">
        <v>3</v>
      </c>
    </row>
    <row r="190" spans="1:15">
      <c r="A190" s="9" t="s">
        <v>453</v>
      </c>
      <c r="B190" s="7" t="str">
        <f>VLOOKUP(A190,Combined!$A$1:$C$501,2,FALSE)</f>
        <v>S035</v>
      </c>
      <c r="C190" s="7" t="s">
        <v>14</v>
      </c>
      <c r="D190" s="7" t="str">
        <f>VLOOKUP(A190,Combined!$A$1:$C$501,3,FALSE)</f>
        <v>C005</v>
      </c>
      <c r="E190" t="str">
        <f>VLOOKUP(D190,Combined!$C$1:$H$501,6,FALSE)</f>
        <v>AI &amp; ML</v>
      </c>
      <c r="F190">
        <f>VLOOKUP(D190,Combined!$C$1:$J$501,8,FALSE)</f>
        <v>3</v>
      </c>
      <c r="N190" t="s">
        <v>389</v>
      </c>
      <c r="O190">
        <v>4</v>
      </c>
    </row>
    <row r="191" spans="1:15">
      <c r="A191" s="9" t="s">
        <v>613</v>
      </c>
      <c r="B191" s="7" t="str">
        <f>VLOOKUP(A191,Combined!$A$1:$C$501,2,FALSE)</f>
        <v>S035</v>
      </c>
      <c r="C191" s="7" t="s">
        <v>14</v>
      </c>
      <c r="D191" s="7" t="str">
        <f>VLOOKUP(A191,Combined!$A$1:$C$501,3,FALSE)</f>
        <v>C008</v>
      </c>
      <c r="E191" t="str">
        <f>VLOOKUP(D191,Combined!$C$1:$H$501,6,FALSE)</f>
        <v>Structural Analysis</v>
      </c>
      <c r="F191">
        <f>VLOOKUP(D191,Combined!$C$1:$J$501,8,FALSE)</f>
        <v>4</v>
      </c>
      <c r="N191" t="s">
        <v>653</v>
      </c>
      <c r="O191">
        <v>3</v>
      </c>
    </row>
    <row r="192" spans="1:15">
      <c r="A192" s="8" t="s">
        <v>211</v>
      </c>
      <c r="B192" s="7" t="str">
        <f>VLOOKUP(A192,Combined!$A$1:$C$501,2,FALSE)</f>
        <v>S036</v>
      </c>
      <c r="C192" s="7" t="s">
        <v>47</v>
      </c>
      <c r="D192" s="7" t="str">
        <f>VLOOKUP(A192,Combined!$A$1:$C$501,3,FALSE)</f>
        <v>C002</v>
      </c>
      <c r="E192" t="str">
        <f>VLOOKUP(D192,Combined!$C$1:$H$501,6,FALSE)</f>
        <v>DBMS</v>
      </c>
      <c r="F192">
        <f>VLOOKUP(D192,Combined!$C$1:$J$501,8,FALSE)</f>
        <v>4</v>
      </c>
      <c r="M192" t="s">
        <v>54</v>
      </c>
      <c r="O192">
        <v>18</v>
      </c>
    </row>
    <row r="193" spans="1:15">
      <c r="A193" s="9" t="s">
        <v>245</v>
      </c>
      <c r="B193" s="7" t="str">
        <f>VLOOKUP(A193,Combined!$A$1:$C$501,2,FALSE)</f>
        <v>S036</v>
      </c>
      <c r="C193" s="7" t="s">
        <v>47</v>
      </c>
      <c r="D193" s="7" t="str">
        <f>VLOOKUP(A193,Combined!$A$1:$C$501,3,FALSE)</f>
        <v>C008</v>
      </c>
      <c r="E193" t="str">
        <f>VLOOKUP(D193,Combined!$C$1:$H$501,6,FALSE)</f>
        <v>Structural Analysis</v>
      </c>
      <c r="F193">
        <f>VLOOKUP(D193,Combined!$C$1:$J$501,8,FALSE)</f>
        <v>4</v>
      </c>
      <c r="N193" t="s">
        <v>248</v>
      </c>
      <c r="O193">
        <v>3</v>
      </c>
    </row>
    <row r="194" spans="1:15">
      <c r="A194" s="9" t="s">
        <v>333</v>
      </c>
      <c r="B194" s="7" t="str">
        <f>VLOOKUP(A194,Combined!$A$1:$C$501,2,FALSE)</f>
        <v>S036</v>
      </c>
      <c r="C194" s="7" t="s">
        <v>47</v>
      </c>
      <c r="D194" s="7" t="str">
        <f>VLOOKUP(A194,Combined!$A$1:$C$501,3,FALSE)</f>
        <v>C003</v>
      </c>
      <c r="E194" t="str">
        <f>VLOOKUP(D194,Combined!$C$1:$H$501,6,FALSE)</f>
        <v>Thermodynamics</v>
      </c>
      <c r="F194">
        <f>VLOOKUP(D194,Combined!$C$1:$J$501,8,FALSE)</f>
        <v>3</v>
      </c>
      <c r="N194" t="s">
        <v>370</v>
      </c>
      <c r="O194">
        <v>4</v>
      </c>
    </row>
    <row r="195" spans="1:15">
      <c r="A195" s="8" t="s">
        <v>410</v>
      </c>
      <c r="B195" s="7" t="str">
        <f>VLOOKUP(A195,Combined!$A$1:$C$501,2,FALSE)</f>
        <v>S036</v>
      </c>
      <c r="C195" s="7" t="s">
        <v>47</v>
      </c>
      <c r="D195" s="7" t="str">
        <f>VLOOKUP(A195,Combined!$A$1:$C$501,3,FALSE)</f>
        <v>C001</v>
      </c>
      <c r="E195" t="str">
        <f>VLOOKUP(D195,Combined!$C$1:$H$501,6,FALSE)</f>
        <v>Data Structures</v>
      </c>
      <c r="F195">
        <f>VLOOKUP(D195,Combined!$C$1:$J$501,8,FALSE)</f>
        <v>3</v>
      </c>
      <c r="N195" t="s">
        <v>378</v>
      </c>
      <c r="O195">
        <v>4</v>
      </c>
    </row>
    <row r="196" spans="1:15">
      <c r="A196" s="9" t="s">
        <v>419</v>
      </c>
      <c r="B196" s="7" t="str">
        <f>VLOOKUP(A196,Combined!$A$1:$C$501,2,FALSE)</f>
        <v>S036</v>
      </c>
      <c r="C196" s="7" t="s">
        <v>47</v>
      </c>
      <c r="D196" s="7" t="str">
        <f>VLOOKUP(A196,Combined!$A$1:$C$501,3,FALSE)</f>
        <v>C003</v>
      </c>
      <c r="E196" t="str">
        <f>VLOOKUP(D196,Combined!$C$1:$H$501,6,FALSE)</f>
        <v>Thermodynamics</v>
      </c>
      <c r="F196">
        <f>VLOOKUP(D196,Combined!$C$1:$J$501,8,FALSE)</f>
        <v>3</v>
      </c>
      <c r="N196" t="s">
        <v>418</v>
      </c>
      <c r="O196">
        <v>4</v>
      </c>
    </row>
    <row r="197" spans="1:15">
      <c r="A197" s="9" t="s">
        <v>489</v>
      </c>
      <c r="B197" s="7" t="str">
        <f>VLOOKUP(A197,Combined!$A$1:$C$501,2,FALSE)</f>
        <v>S036</v>
      </c>
      <c r="C197" s="7" t="s">
        <v>47</v>
      </c>
      <c r="D197" s="7" t="str">
        <f>VLOOKUP(A197,Combined!$A$1:$C$501,3,FALSE)</f>
        <v>C010</v>
      </c>
      <c r="E197" t="str">
        <f>VLOOKUP(D197,Combined!$C$1:$H$501,6,FALSE)</f>
        <v>Finance</v>
      </c>
      <c r="F197">
        <f>VLOOKUP(D197,Combined!$C$1:$J$501,8,FALSE)</f>
        <v>4</v>
      </c>
      <c r="N197" t="s">
        <v>519</v>
      </c>
      <c r="O197">
        <v>3</v>
      </c>
    </row>
    <row r="198" spans="1:15">
      <c r="A198" s="8" t="s">
        <v>568</v>
      </c>
      <c r="B198" s="7" t="str">
        <f>VLOOKUP(A198,Combined!$A$1:$C$501,2,FALSE)</f>
        <v>S036</v>
      </c>
      <c r="C198" s="7" t="s">
        <v>47</v>
      </c>
      <c r="D198" s="7" t="str">
        <f>VLOOKUP(A198,Combined!$A$1:$C$501,3,FALSE)</f>
        <v>C001</v>
      </c>
      <c r="E198" t="str">
        <f>VLOOKUP(D198,Combined!$C$1:$H$501,6,FALSE)</f>
        <v>Data Structures</v>
      </c>
      <c r="F198">
        <f>VLOOKUP(D198,Combined!$C$1:$J$501,8,FALSE)</f>
        <v>3</v>
      </c>
      <c r="M198" t="s">
        <v>55</v>
      </c>
      <c r="O198">
        <v>10</v>
      </c>
    </row>
    <row r="199" spans="1:15">
      <c r="A199" s="8" t="s">
        <v>230</v>
      </c>
      <c r="B199" s="7" t="str">
        <f>VLOOKUP(A199,Combined!$A$1:$C$501,2,FALSE)</f>
        <v>S037</v>
      </c>
      <c r="C199" s="7" t="s">
        <v>31</v>
      </c>
      <c r="D199" s="7" t="str">
        <f>VLOOKUP(A199,Combined!$A$1:$C$501,3,FALSE)</f>
        <v>C009</v>
      </c>
      <c r="E199" t="str">
        <f>VLOOKUP(D199,Combined!$C$1:$H$501,6,FALSE)</f>
        <v>Marketing</v>
      </c>
      <c r="F199">
        <f>VLOOKUP(D199,Combined!$C$1:$J$501,8,FALSE)</f>
        <v>3</v>
      </c>
      <c r="N199" t="s">
        <v>246</v>
      </c>
      <c r="O199">
        <v>3</v>
      </c>
    </row>
    <row r="200" spans="1:15">
      <c r="A200" s="9" t="s">
        <v>345</v>
      </c>
      <c r="B200" s="7" t="str">
        <f>VLOOKUP(A200,Combined!$A$1:$C$501,2,FALSE)</f>
        <v>S037</v>
      </c>
      <c r="C200" s="7" t="s">
        <v>31</v>
      </c>
      <c r="D200" s="7" t="str">
        <f>VLOOKUP(A200,Combined!$A$1:$C$501,3,FALSE)</f>
        <v>C008</v>
      </c>
      <c r="E200" t="str">
        <f>VLOOKUP(D200,Combined!$C$1:$H$501,6,FALSE)</f>
        <v>Structural Analysis</v>
      </c>
      <c r="F200">
        <f>VLOOKUP(D200,Combined!$C$1:$J$501,8,FALSE)</f>
        <v>4</v>
      </c>
      <c r="N200" t="s">
        <v>268</v>
      </c>
      <c r="O200">
        <v>3</v>
      </c>
    </row>
    <row r="201" spans="1:15">
      <c r="A201" s="8" t="s">
        <v>388</v>
      </c>
      <c r="B201" s="7" t="str">
        <f>VLOOKUP(A201,Combined!$A$1:$C$501,2,FALSE)</f>
        <v>S037</v>
      </c>
      <c r="C201" s="7" t="s">
        <v>31</v>
      </c>
      <c r="D201" s="7" t="str">
        <f>VLOOKUP(A201,Combined!$A$1:$C$501,3,FALSE)</f>
        <v>C004</v>
      </c>
      <c r="E201" t="str">
        <f>VLOOKUP(D201,Combined!$C$1:$H$501,6,FALSE)</f>
        <v>Circuits</v>
      </c>
      <c r="F201">
        <f>VLOOKUP(D201,Combined!$C$1:$J$501,8,FALSE)</f>
        <v>4</v>
      </c>
      <c r="N201" t="s">
        <v>620</v>
      </c>
      <c r="O201">
        <v>4</v>
      </c>
    </row>
    <row r="202" spans="1:15">
      <c r="A202" s="8" t="s">
        <v>492</v>
      </c>
      <c r="B202" s="7" t="str">
        <f>VLOOKUP(A202,Combined!$A$1:$C$501,2,FALSE)</f>
        <v>S037</v>
      </c>
      <c r="C202" s="7" t="s">
        <v>31</v>
      </c>
      <c r="D202" s="7" t="str">
        <f>VLOOKUP(A202,Combined!$A$1:$C$501,3,FALSE)</f>
        <v>C002</v>
      </c>
      <c r="E202" t="str">
        <f>VLOOKUP(D202,Combined!$C$1:$H$501,6,FALSE)</f>
        <v>DBMS</v>
      </c>
      <c r="F202">
        <f>VLOOKUP(D202,Combined!$C$1:$J$501,8,FALSE)</f>
        <v>4</v>
      </c>
      <c r="M202" t="s">
        <v>56</v>
      </c>
      <c r="O202">
        <v>22</v>
      </c>
    </row>
    <row r="203" spans="1:15">
      <c r="A203" s="9" t="s">
        <v>525</v>
      </c>
      <c r="B203" s="7" t="str">
        <f>VLOOKUP(A203,Combined!$A$1:$C$501,2,FALSE)</f>
        <v>S037</v>
      </c>
      <c r="C203" s="7" t="s">
        <v>31</v>
      </c>
      <c r="D203" s="7" t="str">
        <f>VLOOKUP(A203,Combined!$A$1:$C$501,3,FALSE)</f>
        <v>C002</v>
      </c>
      <c r="E203" t="str">
        <f>VLOOKUP(D203,Combined!$C$1:$H$501,6,FALSE)</f>
        <v>DBMS</v>
      </c>
      <c r="F203">
        <f>VLOOKUP(D203,Combined!$C$1:$J$501,8,FALSE)</f>
        <v>4</v>
      </c>
      <c r="N203" t="s">
        <v>233</v>
      </c>
      <c r="O203">
        <v>4</v>
      </c>
    </row>
    <row r="204" spans="1:15">
      <c r="A204" s="9" t="s">
        <v>319</v>
      </c>
      <c r="B204" s="7" t="str">
        <f>VLOOKUP(A204,Combined!$A$1:$C$501,2,FALSE)</f>
        <v>S038</v>
      </c>
      <c r="C204" s="7" t="s">
        <v>28</v>
      </c>
      <c r="D204" s="7" t="str">
        <f>VLOOKUP(A204,Combined!$A$1:$C$501,3,FALSE)</f>
        <v>C001</v>
      </c>
      <c r="E204" t="str">
        <f>VLOOKUP(D204,Combined!$C$1:$H$501,6,FALSE)</f>
        <v>Data Structures</v>
      </c>
      <c r="F204">
        <f>VLOOKUP(D204,Combined!$C$1:$J$501,8,FALSE)</f>
        <v>3</v>
      </c>
      <c r="N204" t="s">
        <v>236</v>
      </c>
      <c r="O204">
        <v>3</v>
      </c>
    </row>
    <row r="205" spans="1:15">
      <c r="A205" s="9" t="s">
        <v>383</v>
      </c>
      <c r="B205" s="7" t="str">
        <f>VLOOKUP(A205,Combined!$A$1:$C$501,2,FALSE)</f>
        <v>S039</v>
      </c>
      <c r="C205" s="7" t="s">
        <v>25</v>
      </c>
      <c r="D205" s="7" t="str">
        <f>VLOOKUP(A205,Combined!$A$1:$C$501,3,FALSE)</f>
        <v>C004</v>
      </c>
      <c r="E205" t="str">
        <f>VLOOKUP(D205,Combined!$C$1:$H$501,6,FALSE)</f>
        <v>Circuits</v>
      </c>
      <c r="F205">
        <f>VLOOKUP(D205,Combined!$C$1:$J$501,8,FALSE)</f>
        <v>4</v>
      </c>
      <c r="N205" t="s">
        <v>267</v>
      </c>
      <c r="O205">
        <v>4</v>
      </c>
    </row>
    <row r="206" spans="1:15">
      <c r="A206" s="8" t="s">
        <v>584</v>
      </c>
      <c r="B206" s="7" t="str">
        <f>VLOOKUP(A206,Combined!$A$1:$C$501,2,FALSE)</f>
        <v>S039</v>
      </c>
      <c r="C206" s="7" t="s">
        <v>25</v>
      </c>
      <c r="D206" s="7" t="str">
        <f>VLOOKUP(A206,Combined!$A$1:$C$501,3,FALSE)</f>
        <v>C003</v>
      </c>
      <c r="E206" t="str">
        <f>VLOOKUP(D206,Combined!$C$1:$H$501,6,FALSE)</f>
        <v>Thermodynamics</v>
      </c>
      <c r="F206">
        <f>VLOOKUP(D206,Combined!$C$1:$J$501,8,FALSE)</f>
        <v>3</v>
      </c>
      <c r="N206" t="s">
        <v>282</v>
      </c>
      <c r="O206">
        <v>4</v>
      </c>
    </row>
    <row r="207" spans="1:15">
      <c r="A207" s="8" t="s">
        <v>672</v>
      </c>
      <c r="B207" s="7" t="str">
        <f>VLOOKUP(A207,Combined!$A$1:$C$501,2,FALSE)</f>
        <v>S039</v>
      </c>
      <c r="C207" s="7" t="s">
        <v>25</v>
      </c>
      <c r="D207" s="7" t="str">
        <f>VLOOKUP(A207,Combined!$A$1:$C$501,3,FALSE)</f>
        <v>C010</v>
      </c>
      <c r="E207" t="str">
        <f>VLOOKUP(D207,Combined!$C$1:$H$501,6,FALSE)</f>
        <v>Finance</v>
      </c>
      <c r="F207">
        <f>VLOOKUP(D207,Combined!$C$1:$J$501,8,FALSE)</f>
        <v>4</v>
      </c>
      <c r="N207" t="s">
        <v>283</v>
      </c>
      <c r="O207">
        <v>4</v>
      </c>
    </row>
    <row r="208" spans="1:15">
      <c r="A208" s="8" t="s">
        <v>314</v>
      </c>
      <c r="B208" s="7" t="str">
        <f>VLOOKUP(A208,Combined!$A$1:$C$501,2,FALSE)</f>
        <v>S040</v>
      </c>
      <c r="C208" s="7" t="s">
        <v>47</v>
      </c>
      <c r="D208" s="7" t="str">
        <f>VLOOKUP(A208,Combined!$A$1:$C$501,3,FALSE)</f>
        <v>C010</v>
      </c>
      <c r="E208" t="str">
        <f>VLOOKUP(D208,Combined!$C$1:$H$501,6,FALSE)</f>
        <v>Finance</v>
      </c>
      <c r="F208">
        <f>VLOOKUP(D208,Combined!$C$1:$J$501,8,FALSE)</f>
        <v>4</v>
      </c>
      <c r="N208" t="s">
        <v>662</v>
      </c>
      <c r="O208">
        <v>3</v>
      </c>
    </row>
    <row r="209" spans="1:15">
      <c r="A209" s="9" t="s">
        <v>347</v>
      </c>
      <c r="B209" s="7" t="str">
        <f>VLOOKUP(A209,Combined!$A$1:$C$501,2,FALSE)</f>
        <v>S040</v>
      </c>
      <c r="C209" s="7" t="s">
        <v>47</v>
      </c>
      <c r="D209" s="7" t="str">
        <f>VLOOKUP(A209,Combined!$A$1:$C$501,3,FALSE)</f>
        <v>C009</v>
      </c>
      <c r="E209" t="str">
        <f>VLOOKUP(D209,Combined!$C$1:$H$501,6,FALSE)</f>
        <v>Marketing</v>
      </c>
      <c r="F209">
        <f>VLOOKUP(D209,Combined!$C$1:$J$501,8,FALSE)</f>
        <v>3</v>
      </c>
      <c r="M209" t="s">
        <v>57</v>
      </c>
      <c r="O209">
        <v>29</v>
      </c>
    </row>
    <row r="210" spans="1:15">
      <c r="A210" s="9" t="s">
        <v>391</v>
      </c>
      <c r="B210" s="7" t="str">
        <f>VLOOKUP(A210,Combined!$A$1:$C$501,2,FALSE)</f>
        <v>S040</v>
      </c>
      <c r="C210" s="7" t="s">
        <v>47</v>
      </c>
      <c r="D210" s="7" t="str">
        <f>VLOOKUP(A210,Combined!$A$1:$C$501,3,FALSE)</f>
        <v>C008</v>
      </c>
      <c r="E210" t="str">
        <f>VLOOKUP(D210,Combined!$C$1:$H$501,6,FALSE)</f>
        <v>Structural Analysis</v>
      </c>
      <c r="F210">
        <f>VLOOKUP(D210,Combined!$C$1:$J$501,8,FALSE)</f>
        <v>4</v>
      </c>
      <c r="N210" t="s">
        <v>264</v>
      </c>
      <c r="O210">
        <v>4</v>
      </c>
    </row>
    <row r="211" spans="1:15">
      <c r="A211" s="8" t="s">
        <v>506</v>
      </c>
      <c r="B211" s="7" t="str">
        <f>VLOOKUP(A211,Combined!$A$1:$C$501,2,FALSE)</f>
        <v>S040</v>
      </c>
      <c r="C211" s="7" t="s">
        <v>47</v>
      </c>
      <c r="D211" s="7" t="str">
        <f>VLOOKUP(A211,Combined!$A$1:$C$501,3,FALSE)</f>
        <v>C007</v>
      </c>
      <c r="E211" t="str">
        <f>VLOOKUP(D211,Combined!$C$1:$H$501,6,FALSE)</f>
        <v>Digital Logic</v>
      </c>
      <c r="F211">
        <f>VLOOKUP(D211,Combined!$C$1:$J$501,8,FALSE)</f>
        <v>3</v>
      </c>
      <c r="N211" t="s">
        <v>296</v>
      </c>
      <c r="O211">
        <v>4</v>
      </c>
    </row>
    <row r="212" spans="1:15">
      <c r="A212" s="9" t="s">
        <v>507</v>
      </c>
      <c r="B212" s="7" t="str">
        <f>VLOOKUP(A212,Combined!$A$1:$C$501,2,FALSE)</f>
        <v>S040</v>
      </c>
      <c r="C212" s="7" t="s">
        <v>47</v>
      </c>
      <c r="D212" s="7" t="str">
        <f>VLOOKUP(A212,Combined!$A$1:$C$501,3,FALSE)</f>
        <v>C009</v>
      </c>
      <c r="E212" t="str">
        <f>VLOOKUP(D212,Combined!$C$1:$H$501,6,FALSE)</f>
        <v>Marketing</v>
      </c>
      <c r="F212">
        <f>VLOOKUP(D212,Combined!$C$1:$J$501,8,FALSE)</f>
        <v>3</v>
      </c>
      <c r="N212" t="s">
        <v>379</v>
      </c>
      <c r="O212">
        <v>3</v>
      </c>
    </row>
    <row r="213" spans="1:15">
      <c r="A213" s="8" t="s">
        <v>510</v>
      </c>
      <c r="B213" s="7" t="str">
        <f>VLOOKUP(A213,Combined!$A$1:$C$501,2,FALSE)</f>
        <v>S040</v>
      </c>
      <c r="C213" s="7" t="s">
        <v>47</v>
      </c>
      <c r="D213" s="7" t="str">
        <f>VLOOKUP(A213,Combined!$A$1:$C$501,3,FALSE)</f>
        <v>C003</v>
      </c>
      <c r="E213" t="str">
        <f>VLOOKUP(D213,Combined!$C$1:$H$501,6,FALSE)</f>
        <v>Thermodynamics</v>
      </c>
      <c r="F213">
        <f>VLOOKUP(D213,Combined!$C$1:$J$501,8,FALSE)</f>
        <v>3</v>
      </c>
      <c r="N213" t="s">
        <v>504</v>
      </c>
      <c r="O213">
        <v>4</v>
      </c>
    </row>
    <row r="214" spans="1:15">
      <c r="A214" s="9" t="s">
        <v>297</v>
      </c>
      <c r="B214" s="7" t="str">
        <f>VLOOKUP(A214,Combined!$A$1:$C$501,2,FALSE)</f>
        <v>S041</v>
      </c>
      <c r="C214" s="7" t="s">
        <v>14</v>
      </c>
      <c r="D214" s="7" t="str">
        <f>VLOOKUP(A214,Combined!$A$1:$C$501,3,FALSE)</f>
        <v>C002</v>
      </c>
      <c r="E214" t="str">
        <f>VLOOKUP(D214,Combined!$C$1:$H$501,6,FALSE)</f>
        <v>DBMS</v>
      </c>
      <c r="F214">
        <f>VLOOKUP(D214,Combined!$C$1:$J$501,8,FALSE)</f>
        <v>4</v>
      </c>
      <c r="N214" t="s">
        <v>523</v>
      </c>
      <c r="O214">
        <v>3</v>
      </c>
    </row>
    <row r="215" spans="1:15">
      <c r="A215" s="9" t="s">
        <v>439</v>
      </c>
      <c r="B215" s="7" t="str">
        <f>VLOOKUP(A215,Combined!$A$1:$C$501,2,FALSE)</f>
        <v>S041</v>
      </c>
      <c r="C215" s="7" t="s">
        <v>14</v>
      </c>
      <c r="D215" s="7" t="str">
        <f>VLOOKUP(A215,Combined!$A$1:$C$501,3,FALSE)</f>
        <v>C005</v>
      </c>
      <c r="E215" t="str">
        <f>VLOOKUP(D215,Combined!$C$1:$H$501,6,FALSE)</f>
        <v>AI &amp; ML</v>
      </c>
      <c r="F215">
        <f>VLOOKUP(D215,Combined!$C$1:$J$501,8,FALSE)</f>
        <v>3</v>
      </c>
      <c r="N215" t="s">
        <v>535</v>
      </c>
      <c r="O215">
        <v>4</v>
      </c>
    </row>
    <row r="216" spans="1:15">
      <c r="A216" s="9" t="s">
        <v>531</v>
      </c>
      <c r="B216" s="7" t="str">
        <f>VLOOKUP(A216,Combined!$A$1:$C$501,2,FALSE)</f>
        <v>S041</v>
      </c>
      <c r="C216" s="7" t="s">
        <v>14</v>
      </c>
      <c r="D216" s="7" t="str">
        <f>VLOOKUP(A216,Combined!$A$1:$C$501,3,FALSE)</f>
        <v>C002</v>
      </c>
      <c r="E216" t="str">
        <f>VLOOKUP(D216,Combined!$C$1:$H$501,6,FALSE)</f>
        <v>DBMS</v>
      </c>
      <c r="F216">
        <f>VLOOKUP(D216,Combined!$C$1:$J$501,8,FALSE)</f>
        <v>4</v>
      </c>
      <c r="N216" t="s">
        <v>598</v>
      </c>
      <c r="O216">
        <v>4</v>
      </c>
    </row>
    <row r="217" spans="1:15">
      <c r="A217" s="8" t="s">
        <v>554</v>
      </c>
      <c r="B217" s="7" t="str">
        <f>VLOOKUP(A217,Combined!$A$1:$C$501,2,FALSE)</f>
        <v>S041</v>
      </c>
      <c r="C217" s="7" t="s">
        <v>14</v>
      </c>
      <c r="D217" s="7" t="str">
        <f>VLOOKUP(A217,Combined!$A$1:$C$501,3,FALSE)</f>
        <v>C005</v>
      </c>
      <c r="E217" t="str">
        <f>VLOOKUP(D217,Combined!$C$1:$H$501,6,FALSE)</f>
        <v>AI &amp; ML</v>
      </c>
      <c r="F217">
        <f>VLOOKUP(D217,Combined!$C$1:$J$501,8,FALSE)</f>
        <v>3</v>
      </c>
      <c r="N217" t="s">
        <v>702</v>
      </c>
      <c r="O217">
        <v>3</v>
      </c>
    </row>
    <row r="218" spans="1:15">
      <c r="A218" s="8" t="s">
        <v>610</v>
      </c>
      <c r="B218" s="7" t="str">
        <f>VLOOKUP(A218,Combined!$A$1:$C$501,2,FALSE)</f>
        <v>S041</v>
      </c>
      <c r="C218" s="7" t="s">
        <v>14</v>
      </c>
      <c r="D218" s="7" t="str">
        <f>VLOOKUP(A218,Combined!$A$1:$C$501,3,FALSE)</f>
        <v>C006</v>
      </c>
      <c r="E218" t="str">
        <f>VLOOKUP(D218,Combined!$C$1:$H$501,6,FALSE)</f>
        <v>Fluid Mechanics</v>
      </c>
      <c r="F218">
        <f>VLOOKUP(D218,Combined!$C$1:$J$501,8,FALSE)</f>
        <v>4</v>
      </c>
      <c r="M218" t="s">
        <v>58</v>
      </c>
      <c r="O218">
        <v>11</v>
      </c>
    </row>
    <row r="219" spans="1:15">
      <c r="A219" s="8" t="s">
        <v>612</v>
      </c>
      <c r="B219" s="7" t="str">
        <f>VLOOKUP(A219,Combined!$A$1:$C$501,2,FALSE)</f>
        <v>S041</v>
      </c>
      <c r="C219" s="7" t="s">
        <v>14</v>
      </c>
      <c r="D219" s="7" t="str">
        <f>VLOOKUP(A219,Combined!$A$1:$C$501,3,FALSE)</f>
        <v>C004</v>
      </c>
      <c r="E219" t="str">
        <f>VLOOKUP(D219,Combined!$C$1:$H$501,6,FALSE)</f>
        <v>Circuits</v>
      </c>
      <c r="F219">
        <f>VLOOKUP(D219,Combined!$C$1:$J$501,8,FALSE)</f>
        <v>4</v>
      </c>
      <c r="N219" t="s">
        <v>286</v>
      </c>
      <c r="O219">
        <v>4</v>
      </c>
    </row>
    <row r="220" spans="1:15">
      <c r="A220" s="8" t="s">
        <v>650</v>
      </c>
      <c r="B220" s="7" t="str">
        <f>VLOOKUP(A220,Combined!$A$1:$C$501,2,FALSE)</f>
        <v>S041</v>
      </c>
      <c r="C220" s="7" t="s">
        <v>14</v>
      </c>
      <c r="D220" s="7" t="str">
        <f>VLOOKUP(A220,Combined!$A$1:$C$501,3,FALSE)</f>
        <v>C003</v>
      </c>
      <c r="E220" t="str">
        <f>VLOOKUP(D220,Combined!$C$1:$H$501,6,FALSE)</f>
        <v>Thermodynamics</v>
      </c>
      <c r="F220">
        <f>VLOOKUP(D220,Combined!$C$1:$J$501,8,FALSE)</f>
        <v>3</v>
      </c>
      <c r="N220" t="s">
        <v>316</v>
      </c>
      <c r="O220">
        <v>4</v>
      </c>
    </row>
    <row r="221" spans="1:15">
      <c r="A221" s="8" t="s">
        <v>262</v>
      </c>
      <c r="B221" s="7" t="str">
        <f>VLOOKUP(A221,Combined!$A$1:$C$501,2,FALSE)</f>
        <v>S042</v>
      </c>
      <c r="C221" s="7" t="s">
        <v>67</v>
      </c>
      <c r="D221" s="7" t="str">
        <f>VLOOKUP(A221,Combined!$A$1:$C$501,3,FALSE)</f>
        <v>C004</v>
      </c>
      <c r="E221" t="str">
        <f>VLOOKUP(D221,Combined!$C$1:$H$501,6,FALSE)</f>
        <v>Circuits</v>
      </c>
      <c r="F221">
        <f>VLOOKUP(D221,Combined!$C$1:$J$501,8,FALSE)</f>
        <v>4</v>
      </c>
      <c r="N221" t="s">
        <v>682</v>
      </c>
      <c r="O221">
        <v>3</v>
      </c>
    </row>
    <row r="222" spans="1:15">
      <c r="A222" s="9" t="s">
        <v>373</v>
      </c>
      <c r="B222" s="7" t="str">
        <f>VLOOKUP(A222,Combined!$A$1:$C$501,2,FALSE)</f>
        <v>S042</v>
      </c>
      <c r="C222" s="7" t="s">
        <v>67</v>
      </c>
      <c r="D222" s="7" t="str">
        <f>VLOOKUP(A222,Combined!$A$1:$C$501,3,FALSE)</f>
        <v>C001</v>
      </c>
      <c r="E222" t="str">
        <f>VLOOKUP(D222,Combined!$C$1:$H$501,6,FALSE)</f>
        <v>Data Structures</v>
      </c>
      <c r="F222">
        <f>VLOOKUP(D222,Combined!$C$1:$J$501,8,FALSE)</f>
        <v>3</v>
      </c>
      <c r="M222" t="s">
        <v>59</v>
      </c>
      <c r="O222">
        <v>10</v>
      </c>
    </row>
    <row r="223" spans="1:15">
      <c r="A223" s="9" t="s">
        <v>393</v>
      </c>
      <c r="B223" s="7" t="str">
        <f>VLOOKUP(A223,Combined!$A$1:$C$501,2,FALSE)</f>
        <v>S042</v>
      </c>
      <c r="C223" s="7" t="s">
        <v>67</v>
      </c>
      <c r="D223" s="7" t="str">
        <f>VLOOKUP(A223,Combined!$A$1:$C$501,3,FALSE)</f>
        <v>C007</v>
      </c>
      <c r="E223" t="str">
        <f>VLOOKUP(D223,Combined!$C$1:$H$501,6,FALSE)</f>
        <v>Digital Logic</v>
      </c>
      <c r="F223">
        <f>VLOOKUP(D223,Combined!$C$1:$J$501,8,FALSE)</f>
        <v>3</v>
      </c>
      <c r="N223" t="s">
        <v>327</v>
      </c>
      <c r="O223">
        <v>3</v>
      </c>
    </row>
    <row r="224" spans="1:15">
      <c r="A224" s="9" t="s">
        <v>431</v>
      </c>
      <c r="B224" s="7" t="str">
        <f>VLOOKUP(A224,Combined!$A$1:$C$501,2,FALSE)</f>
        <v>S042</v>
      </c>
      <c r="C224" s="7" t="s">
        <v>67</v>
      </c>
      <c r="D224" s="7" t="str">
        <f>VLOOKUP(A224,Combined!$A$1:$C$501,3,FALSE)</f>
        <v>C010</v>
      </c>
      <c r="E224" t="str">
        <f>VLOOKUP(D224,Combined!$C$1:$H$501,6,FALSE)</f>
        <v>Finance</v>
      </c>
      <c r="F224">
        <f>VLOOKUP(D224,Combined!$C$1:$J$501,8,FALSE)</f>
        <v>4</v>
      </c>
      <c r="N224" t="s">
        <v>453</v>
      </c>
      <c r="O224">
        <v>3</v>
      </c>
    </row>
    <row r="225" spans="1:15">
      <c r="A225" s="8" t="s">
        <v>468</v>
      </c>
      <c r="B225" s="7" t="str">
        <f>VLOOKUP(A225,Combined!$A$1:$C$501,2,FALSE)</f>
        <v>S042</v>
      </c>
      <c r="C225" s="7" t="s">
        <v>67</v>
      </c>
      <c r="D225" s="7" t="str">
        <f>VLOOKUP(A225,Combined!$A$1:$C$501,3,FALSE)</f>
        <v>C002</v>
      </c>
      <c r="E225" t="str">
        <f>VLOOKUP(D225,Combined!$C$1:$H$501,6,FALSE)</f>
        <v>DBMS</v>
      </c>
      <c r="F225">
        <f>VLOOKUP(D225,Combined!$C$1:$J$501,8,FALSE)</f>
        <v>4</v>
      </c>
      <c r="N225" t="s">
        <v>613</v>
      </c>
      <c r="O225">
        <v>4</v>
      </c>
    </row>
    <row r="226" spans="1:15">
      <c r="A226" s="8" t="s">
        <v>616</v>
      </c>
      <c r="B226" s="7" t="str">
        <f>VLOOKUP(A226,Combined!$A$1:$C$501,2,FALSE)</f>
        <v>S042</v>
      </c>
      <c r="C226" s="7" t="s">
        <v>67</v>
      </c>
      <c r="D226" s="7" t="str">
        <f>VLOOKUP(A226,Combined!$A$1:$C$501,3,FALSE)</f>
        <v>C010</v>
      </c>
      <c r="E226" t="str">
        <f>VLOOKUP(D226,Combined!$C$1:$H$501,6,FALSE)</f>
        <v>Finance</v>
      </c>
      <c r="F226">
        <f>VLOOKUP(D226,Combined!$C$1:$J$501,8,FALSE)</f>
        <v>4</v>
      </c>
      <c r="M226" t="s">
        <v>60</v>
      </c>
      <c r="O226">
        <v>24</v>
      </c>
    </row>
    <row r="227" spans="1:15">
      <c r="A227" s="8" t="s">
        <v>416</v>
      </c>
      <c r="B227" s="7" t="str">
        <f>VLOOKUP(A227,Combined!$A$1:$C$501,2,FALSE)</f>
        <v>S043</v>
      </c>
      <c r="C227" s="7" t="s">
        <v>28</v>
      </c>
      <c r="D227" s="7" t="str">
        <f>VLOOKUP(A227,Combined!$A$1:$C$501,3,FALSE)</f>
        <v>C004</v>
      </c>
      <c r="E227" t="str">
        <f>VLOOKUP(D227,Combined!$C$1:$H$501,6,FALSE)</f>
        <v>Circuits</v>
      </c>
      <c r="F227">
        <f>VLOOKUP(D227,Combined!$C$1:$J$501,8,FALSE)</f>
        <v>4</v>
      </c>
      <c r="N227" t="s">
        <v>211</v>
      </c>
      <c r="O227">
        <v>4</v>
      </c>
    </row>
    <row r="228" spans="1:15">
      <c r="A228" s="8" t="s">
        <v>480</v>
      </c>
      <c r="B228" s="7" t="str">
        <f>VLOOKUP(A228,Combined!$A$1:$C$501,2,FALSE)</f>
        <v>S043</v>
      </c>
      <c r="C228" s="7" t="s">
        <v>28</v>
      </c>
      <c r="D228" s="7" t="str">
        <f>VLOOKUP(A228,Combined!$A$1:$C$501,3,FALSE)</f>
        <v>C003</v>
      </c>
      <c r="E228" t="str">
        <f>VLOOKUP(D228,Combined!$C$1:$H$501,6,FALSE)</f>
        <v>Thermodynamics</v>
      </c>
      <c r="F228">
        <f>VLOOKUP(D228,Combined!$C$1:$J$501,8,FALSE)</f>
        <v>3</v>
      </c>
      <c r="N228" t="s">
        <v>245</v>
      </c>
      <c r="O228">
        <v>4</v>
      </c>
    </row>
    <row r="229" spans="1:15">
      <c r="A229" s="9" t="s">
        <v>673</v>
      </c>
      <c r="B229" s="7" t="str">
        <f>VLOOKUP(A229,Combined!$A$1:$C$501,2,FALSE)</f>
        <v>S043</v>
      </c>
      <c r="C229" s="7" t="s">
        <v>28</v>
      </c>
      <c r="D229" s="7" t="str">
        <f>VLOOKUP(A229,Combined!$A$1:$C$501,3,FALSE)</f>
        <v>C005</v>
      </c>
      <c r="E229" t="str">
        <f>VLOOKUP(D229,Combined!$C$1:$H$501,6,FALSE)</f>
        <v>AI &amp; ML</v>
      </c>
      <c r="F229">
        <f>VLOOKUP(D229,Combined!$C$1:$J$501,8,FALSE)</f>
        <v>3</v>
      </c>
      <c r="N229" t="s">
        <v>333</v>
      </c>
      <c r="O229">
        <v>3</v>
      </c>
    </row>
    <row r="230" spans="1:15">
      <c r="A230" s="9" t="s">
        <v>263</v>
      </c>
      <c r="B230" s="7" t="str">
        <f>VLOOKUP(A230,Combined!$A$1:$C$501,2,FALSE)</f>
        <v>S044</v>
      </c>
      <c r="C230" s="7" t="s">
        <v>17</v>
      </c>
      <c r="D230" s="7" t="str">
        <f>VLOOKUP(A230,Combined!$A$1:$C$501,3,FALSE)</f>
        <v>C007</v>
      </c>
      <c r="E230" t="str">
        <f>VLOOKUP(D230,Combined!$C$1:$H$501,6,FALSE)</f>
        <v>Digital Logic</v>
      </c>
      <c r="F230">
        <f>VLOOKUP(D230,Combined!$C$1:$J$501,8,FALSE)</f>
        <v>3</v>
      </c>
      <c r="N230" t="s">
        <v>410</v>
      </c>
      <c r="O230">
        <v>3</v>
      </c>
    </row>
    <row r="231" spans="1:15">
      <c r="A231" s="8" t="s">
        <v>284</v>
      </c>
      <c r="B231" s="7" t="str">
        <f>VLOOKUP(A231,Combined!$A$1:$C$501,2,FALSE)</f>
        <v>S044</v>
      </c>
      <c r="C231" s="7" t="s">
        <v>17</v>
      </c>
      <c r="D231" s="7" t="str">
        <f>VLOOKUP(A231,Combined!$A$1:$C$501,3,FALSE)</f>
        <v>C001</v>
      </c>
      <c r="E231" t="str">
        <f>VLOOKUP(D231,Combined!$C$1:$H$501,6,FALSE)</f>
        <v>Data Structures</v>
      </c>
      <c r="F231">
        <f>VLOOKUP(D231,Combined!$C$1:$J$501,8,FALSE)</f>
        <v>3</v>
      </c>
      <c r="N231" t="s">
        <v>419</v>
      </c>
      <c r="O231">
        <v>3</v>
      </c>
    </row>
    <row r="232" spans="1:15">
      <c r="A232" s="9" t="s">
        <v>437</v>
      </c>
      <c r="B232" s="7" t="str">
        <f>VLOOKUP(A232,Combined!$A$1:$C$501,2,FALSE)</f>
        <v>S044</v>
      </c>
      <c r="C232" s="7" t="s">
        <v>17</v>
      </c>
      <c r="D232" s="7" t="str">
        <f>VLOOKUP(A232,Combined!$A$1:$C$501,3,FALSE)</f>
        <v>C008</v>
      </c>
      <c r="E232" t="str">
        <f>VLOOKUP(D232,Combined!$C$1:$H$501,6,FALSE)</f>
        <v>Structural Analysis</v>
      </c>
      <c r="F232">
        <f>VLOOKUP(D232,Combined!$C$1:$J$501,8,FALSE)</f>
        <v>4</v>
      </c>
      <c r="N232" t="s">
        <v>489</v>
      </c>
      <c r="O232">
        <v>4</v>
      </c>
    </row>
    <row r="233" spans="1:15">
      <c r="A233" s="8" t="s">
        <v>208</v>
      </c>
      <c r="B233" s="7" t="str">
        <f>VLOOKUP(A233,Combined!$A$1:$C$501,2,FALSE)</f>
        <v>S045</v>
      </c>
      <c r="C233" s="7" t="s">
        <v>37</v>
      </c>
      <c r="D233" s="7" t="str">
        <f>VLOOKUP(A233,Combined!$A$1:$C$501,3,FALSE)</f>
        <v>C005</v>
      </c>
      <c r="E233" t="str">
        <f>VLOOKUP(D233,Combined!$C$1:$H$501,6,FALSE)</f>
        <v>AI &amp; ML</v>
      </c>
      <c r="F233">
        <f>VLOOKUP(D233,Combined!$C$1:$J$501,8,FALSE)</f>
        <v>3</v>
      </c>
      <c r="N233" t="s">
        <v>568</v>
      </c>
      <c r="O233">
        <v>3</v>
      </c>
    </row>
    <row r="234" spans="1:15">
      <c r="A234" s="9" t="s">
        <v>335</v>
      </c>
      <c r="B234" s="7" t="str">
        <f>VLOOKUP(A234,Combined!$A$1:$C$501,2,FALSE)</f>
        <v>S045</v>
      </c>
      <c r="C234" s="7" t="s">
        <v>37</v>
      </c>
      <c r="D234" s="7" t="str">
        <f>VLOOKUP(A234,Combined!$A$1:$C$501,3,FALSE)</f>
        <v>C007</v>
      </c>
      <c r="E234" t="str">
        <f>VLOOKUP(D234,Combined!$C$1:$H$501,6,FALSE)</f>
        <v>Digital Logic</v>
      </c>
      <c r="F234">
        <f>VLOOKUP(D234,Combined!$C$1:$J$501,8,FALSE)</f>
        <v>3</v>
      </c>
      <c r="M234" t="s">
        <v>61</v>
      </c>
      <c r="O234">
        <v>19</v>
      </c>
    </row>
    <row r="235" spans="1:15">
      <c r="A235" s="9" t="s">
        <v>357</v>
      </c>
      <c r="B235" s="7" t="str">
        <f>VLOOKUP(A235,Combined!$A$1:$C$501,2,FALSE)</f>
        <v>S045</v>
      </c>
      <c r="C235" s="7" t="s">
        <v>37</v>
      </c>
      <c r="D235" s="7" t="str">
        <f>VLOOKUP(A235,Combined!$A$1:$C$501,3,FALSE)</f>
        <v>C006</v>
      </c>
      <c r="E235" t="str">
        <f>VLOOKUP(D235,Combined!$C$1:$H$501,6,FALSE)</f>
        <v>Fluid Mechanics</v>
      </c>
      <c r="F235">
        <f>VLOOKUP(D235,Combined!$C$1:$J$501,8,FALSE)</f>
        <v>4</v>
      </c>
      <c r="N235" t="s">
        <v>230</v>
      </c>
      <c r="O235">
        <v>3</v>
      </c>
    </row>
    <row r="236" spans="1:15">
      <c r="A236" s="9" t="s">
        <v>449</v>
      </c>
      <c r="B236" s="7" t="str">
        <f>VLOOKUP(A236,Combined!$A$1:$C$501,2,FALSE)</f>
        <v>S045</v>
      </c>
      <c r="C236" s="7" t="s">
        <v>37</v>
      </c>
      <c r="D236" s="7" t="str">
        <f>VLOOKUP(A236,Combined!$A$1:$C$501,3,FALSE)</f>
        <v>C009</v>
      </c>
      <c r="E236" t="str">
        <f>VLOOKUP(D236,Combined!$C$1:$H$501,6,FALSE)</f>
        <v>Marketing</v>
      </c>
      <c r="F236">
        <f>VLOOKUP(D236,Combined!$C$1:$J$501,8,FALSE)</f>
        <v>3</v>
      </c>
      <c r="N236" t="s">
        <v>345</v>
      </c>
      <c r="O236">
        <v>4</v>
      </c>
    </row>
    <row r="237" spans="1:15">
      <c r="A237" s="9" t="s">
        <v>463</v>
      </c>
      <c r="B237" s="7" t="str">
        <f>VLOOKUP(A237,Combined!$A$1:$C$501,2,FALSE)</f>
        <v>S045</v>
      </c>
      <c r="C237" s="7" t="s">
        <v>37</v>
      </c>
      <c r="D237" s="7" t="str">
        <f>VLOOKUP(A237,Combined!$A$1:$C$501,3,FALSE)</f>
        <v>C007</v>
      </c>
      <c r="E237" t="str">
        <f>VLOOKUP(D237,Combined!$C$1:$H$501,6,FALSE)</f>
        <v>Digital Logic</v>
      </c>
      <c r="F237">
        <f>VLOOKUP(D237,Combined!$C$1:$J$501,8,FALSE)</f>
        <v>3</v>
      </c>
      <c r="N237" t="s">
        <v>388</v>
      </c>
      <c r="O237">
        <v>4</v>
      </c>
    </row>
    <row r="238" spans="1:15">
      <c r="A238" s="8" t="s">
        <v>482</v>
      </c>
      <c r="B238" s="7" t="str">
        <f>VLOOKUP(A238,Combined!$A$1:$C$501,2,FALSE)</f>
        <v>S045</v>
      </c>
      <c r="C238" s="7" t="s">
        <v>37</v>
      </c>
      <c r="D238" s="7" t="str">
        <f>VLOOKUP(A238,Combined!$A$1:$C$501,3,FALSE)</f>
        <v>C003</v>
      </c>
      <c r="E238" t="str">
        <f>VLOOKUP(D238,Combined!$C$1:$H$501,6,FALSE)</f>
        <v>Thermodynamics</v>
      </c>
      <c r="F238">
        <f>VLOOKUP(D238,Combined!$C$1:$J$501,8,FALSE)</f>
        <v>3</v>
      </c>
      <c r="N238" t="s">
        <v>492</v>
      </c>
      <c r="O238">
        <v>4</v>
      </c>
    </row>
    <row r="239" spans="1:15">
      <c r="A239" s="9" t="s">
        <v>597</v>
      </c>
      <c r="B239" s="7" t="str">
        <f>VLOOKUP(A239,Combined!$A$1:$C$501,2,FALSE)</f>
        <v>S045</v>
      </c>
      <c r="C239" s="7" t="s">
        <v>37</v>
      </c>
      <c r="D239" s="7" t="str">
        <f>VLOOKUP(A239,Combined!$A$1:$C$501,3,FALSE)</f>
        <v>C009</v>
      </c>
      <c r="E239" t="str">
        <f>VLOOKUP(D239,Combined!$C$1:$H$501,6,FALSE)</f>
        <v>Marketing</v>
      </c>
      <c r="F239">
        <f>VLOOKUP(D239,Combined!$C$1:$J$501,8,FALSE)</f>
        <v>3</v>
      </c>
      <c r="N239" t="s">
        <v>525</v>
      </c>
      <c r="O239">
        <v>4</v>
      </c>
    </row>
    <row r="240" spans="1:15">
      <c r="A240" s="9" t="s">
        <v>655</v>
      </c>
      <c r="B240" s="7" t="str">
        <f>VLOOKUP(A240,Combined!$A$1:$C$501,2,FALSE)</f>
        <v>S045</v>
      </c>
      <c r="C240" s="7" t="s">
        <v>37</v>
      </c>
      <c r="D240" s="7" t="str">
        <f>VLOOKUP(A240,Combined!$A$1:$C$501,3,FALSE)</f>
        <v>C009</v>
      </c>
      <c r="E240" t="str">
        <f>VLOOKUP(D240,Combined!$C$1:$H$501,6,FALSE)</f>
        <v>Marketing</v>
      </c>
      <c r="F240">
        <f>VLOOKUP(D240,Combined!$C$1:$J$501,8,FALSE)</f>
        <v>3</v>
      </c>
      <c r="M240" t="s">
        <v>62</v>
      </c>
      <c r="O240">
        <v>3</v>
      </c>
    </row>
    <row r="241" spans="1:15">
      <c r="A241" s="8" t="s">
        <v>220</v>
      </c>
      <c r="B241" s="7" t="str">
        <f>VLOOKUP(A241,Combined!$A$1:$C$501,2,FALSE)</f>
        <v>S047</v>
      </c>
      <c r="C241" s="7" t="s">
        <v>6</v>
      </c>
      <c r="D241" s="7" t="str">
        <f>VLOOKUP(A241,Combined!$A$1:$C$501,3,FALSE)</f>
        <v>C007</v>
      </c>
      <c r="E241" t="str">
        <f>VLOOKUP(D241,Combined!$C$1:$H$501,6,FALSE)</f>
        <v>Digital Logic</v>
      </c>
      <c r="F241">
        <f>VLOOKUP(D241,Combined!$C$1:$J$501,8,FALSE)</f>
        <v>3</v>
      </c>
      <c r="N241" t="s">
        <v>319</v>
      </c>
      <c r="O241">
        <v>3</v>
      </c>
    </row>
    <row r="242" spans="1:15">
      <c r="A242" s="9" t="s">
        <v>301</v>
      </c>
      <c r="B242" s="7" t="str">
        <f>VLOOKUP(A242,Combined!$A$1:$C$501,2,FALSE)</f>
        <v>S047</v>
      </c>
      <c r="C242" s="7" t="s">
        <v>6</v>
      </c>
      <c r="D242" s="7" t="str">
        <f>VLOOKUP(A242,Combined!$A$1:$C$501,3,FALSE)</f>
        <v>C003</v>
      </c>
      <c r="E242" t="str">
        <f>VLOOKUP(D242,Combined!$C$1:$H$501,6,FALSE)</f>
        <v>Thermodynamics</v>
      </c>
      <c r="F242">
        <f>VLOOKUP(D242,Combined!$C$1:$J$501,8,FALSE)</f>
        <v>3</v>
      </c>
      <c r="M242" t="s">
        <v>63</v>
      </c>
      <c r="O242">
        <v>11</v>
      </c>
    </row>
    <row r="243" spans="1:15">
      <c r="A243" s="8" t="s">
        <v>500</v>
      </c>
      <c r="B243" s="7" t="str">
        <f>VLOOKUP(A243,Combined!$A$1:$C$501,2,FALSE)</f>
        <v>S047</v>
      </c>
      <c r="C243" s="7" t="s">
        <v>6</v>
      </c>
      <c r="D243" s="7" t="str">
        <f>VLOOKUP(A243,Combined!$A$1:$C$501,3,FALSE)</f>
        <v>C006</v>
      </c>
      <c r="E243" t="str">
        <f>VLOOKUP(D243,Combined!$C$1:$H$501,6,FALSE)</f>
        <v>Fluid Mechanics</v>
      </c>
      <c r="F243">
        <f>VLOOKUP(D243,Combined!$C$1:$J$501,8,FALSE)</f>
        <v>4</v>
      </c>
      <c r="N243" t="s">
        <v>383</v>
      </c>
      <c r="O243">
        <v>4</v>
      </c>
    </row>
    <row r="244" spans="1:15">
      <c r="A244" s="9" t="s">
        <v>569</v>
      </c>
      <c r="B244" s="7" t="str">
        <f>VLOOKUP(A244,Combined!$A$1:$C$501,2,FALSE)</f>
        <v>S047</v>
      </c>
      <c r="C244" s="7" t="s">
        <v>6</v>
      </c>
      <c r="D244" s="7" t="str">
        <f>VLOOKUP(A244,Combined!$A$1:$C$501,3,FALSE)</f>
        <v>C009</v>
      </c>
      <c r="E244" t="str">
        <f>VLOOKUP(D244,Combined!$C$1:$H$501,6,FALSE)</f>
        <v>Marketing</v>
      </c>
      <c r="F244">
        <f>VLOOKUP(D244,Combined!$C$1:$J$501,8,FALSE)</f>
        <v>3</v>
      </c>
      <c r="N244" t="s">
        <v>584</v>
      </c>
      <c r="O244">
        <v>3</v>
      </c>
    </row>
    <row r="245" spans="1:15">
      <c r="A245" s="8" t="s">
        <v>572</v>
      </c>
      <c r="B245" s="7" t="str">
        <f>VLOOKUP(A245,Combined!$A$1:$C$501,2,FALSE)</f>
        <v>S047</v>
      </c>
      <c r="C245" s="7" t="s">
        <v>6</v>
      </c>
      <c r="D245" s="7" t="str">
        <f>VLOOKUP(A245,Combined!$A$1:$C$501,3,FALSE)</f>
        <v>C007</v>
      </c>
      <c r="E245" t="str">
        <f>VLOOKUP(D245,Combined!$C$1:$H$501,6,FALSE)</f>
        <v>Digital Logic</v>
      </c>
      <c r="F245">
        <f>VLOOKUP(D245,Combined!$C$1:$J$501,8,FALSE)</f>
        <v>3</v>
      </c>
      <c r="N245" t="s">
        <v>672</v>
      </c>
      <c r="O245">
        <v>4</v>
      </c>
    </row>
    <row r="246" spans="1:15">
      <c r="A246" s="9" t="s">
        <v>587</v>
      </c>
      <c r="B246" s="7" t="str">
        <f>VLOOKUP(A246,Combined!$A$1:$C$501,2,FALSE)</f>
        <v>S047</v>
      </c>
      <c r="C246" s="7" t="s">
        <v>6</v>
      </c>
      <c r="D246" s="7" t="str">
        <f>VLOOKUP(A246,Combined!$A$1:$C$501,3,FALSE)</f>
        <v>C009</v>
      </c>
      <c r="E246" t="str">
        <f>VLOOKUP(D246,Combined!$C$1:$H$501,6,FALSE)</f>
        <v>Marketing</v>
      </c>
      <c r="F246">
        <f>VLOOKUP(D246,Combined!$C$1:$J$501,8,FALSE)</f>
        <v>3</v>
      </c>
      <c r="M246" t="s">
        <v>64</v>
      </c>
      <c r="O246">
        <v>20</v>
      </c>
    </row>
    <row r="247" spans="1:15">
      <c r="A247" s="8" t="s">
        <v>626</v>
      </c>
      <c r="B247" s="7" t="str">
        <f>VLOOKUP(A247,Combined!$A$1:$C$501,2,FALSE)</f>
        <v>S047</v>
      </c>
      <c r="C247" s="7" t="s">
        <v>6</v>
      </c>
      <c r="D247" s="7" t="str">
        <f>VLOOKUP(A247,Combined!$A$1:$C$501,3,FALSE)</f>
        <v>C009</v>
      </c>
      <c r="E247" t="str">
        <f>VLOOKUP(D247,Combined!$C$1:$H$501,6,FALSE)</f>
        <v>Marketing</v>
      </c>
      <c r="F247">
        <f>VLOOKUP(D247,Combined!$C$1:$J$501,8,FALSE)</f>
        <v>3</v>
      </c>
      <c r="N247" t="s">
        <v>314</v>
      </c>
      <c r="O247">
        <v>4</v>
      </c>
    </row>
    <row r="248" spans="1:15">
      <c r="A248" s="8" t="s">
        <v>374</v>
      </c>
      <c r="B248" s="7" t="str">
        <f>VLOOKUP(A248,Combined!$A$1:$C$501,2,FALSE)</f>
        <v>S048</v>
      </c>
      <c r="C248" s="7" t="s">
        <v>39</v>
      </c>
      <c r="D248" s="7" t="str">
        <f>VLOOKUP(A248,Combined!$A$1:$C$501,3,FALSE)</f>
        <v>C007</v>
      </c>
      <c r="E248" t="str">
        <f>VLOOKUP(D248,Combined!$C$1:$H$501,6,FALSE)</f>
        <v>Digital Logic</v>
      </c>
      <c r="F248">
        <f>VLOOKUP(D248,Combined!$C$1:$J$501,8,FALSE)</f>
        <v>3</v>
      </c>
      <c r="N248" t="s">
        <v>347</v>
      </c>
      <c r="O248">
        <v>3</v>
      </c>
    </row>
    <row r="249" spans="1:15">
      <c r="A249" s="8" t="s">
        <v>408</v>
      </c>
      <c r="B249" s="7" t="str">
        <f>VLOOKUP(A249,Combined!$A$1:$C$501,2,FALSE)</f>
        <v>S048</v>
      </c>
      <c r="C249" s="7" t="s">
        <v>39</v>
      </c>
      <c r="D249" s="7" t="str">
        <f>VLOOKUP(A249,Combined!$A$1:$C$501,3,FALSE)</f>
        <v>C009</v>
      </c>
      <c r="E249" t="str">
        <f>VLOOKUP(D249,Combined!$C$1:$H$501,6,FALSE)</f>
        <v>Marketing</v>
      </c>
      <c r="F249">
        <f>VLOOKUP(D249,Combined!$C$1:$J$501,8,FALSE)</f>
        <v>3</v>
      </c>
      <c r="N249" t="s">
        <v>391</v>
      </c>
      <c r="O249">
        <v>4</v>
      </c>
    </row>
    <row r="250" spans="1:15">
      <c r="A250" s="8" t="s">
        <v>458</v>
      </c>
      <c r="B250" s="7" t="str">
        <f>VLOOKUP(A250,Combined!$A$1:$C$501,2,FALSE)</f>
        <v>S048</v>
      </c>
      <c r="C250" s="7" t="s">
        <v>39</v>
      </c>
      <c r="D250" s="7" t="str">
        <f>VLOOKUP(A250,Combined!$A$1:$C$501,3,FALSE)</f>
        <v>C005</v>
      </c>
      <c r="E250" t="str">
        <f>VLOOKUP(D250,Combined!$C$1:$H$501,6,FALSE)</f>
        <v>AI &amp; ML</v>
      </c>
      <c r="F250">
        <f>VLOOKUP(D250,Combined!$C$1:$J$501,8,FALSE)</f>
        <v>3</v>
      </c>
      <c r="N250" t="s">
        <v>506</v>
      </c>
      <c r="O250">
        <v>3</v>
      </c>
    </row>
    <row r="251" spans="1:15">
      <c r="A251" s="8" t="s">
        <v>546</v>
      </c>
      <c r="B251" s="7" t="str">
        <f>VLOOKUP(A251,Combined!$A$1:$C$501,2,FALSE)</f>
        <v>S048</v>
      </c>
      <c r="C251" s="7" t="s">
        <v>39</v>
      </c>
      <c r="D251" s="7" t="str">
        <f>VLOOKUP(A251,Combined!$A$1:$C$501,3,FALSE)</f>
        <v>C005</v>
      </c>
      <c r="E251" t="str">
        <f>VLOOKUP(D251,Combined!$C$1:$H$501,6,FALSE)</f>
        <v>AI &amp; ML</v>
      </c>
      <c r="F251">
        <f>VLOOKUP(D251,Combined!$C$1:$J$501,8,FALSE)</f>
        <v>3</v>
      </c>
      <c r="N251" t="s">
        <v>507</v>
      </c>
      <c r="O251">
        <v>3</v>
      </c>
    </row>
    <row r="252" spans="1:15">
      <c r="A252" s="8" t="s">
        <v>574</v>
      </c>
      <c r="B252" s="7" t="str">
        <f>VLOOKUP(A252,Combined!$A$1:$C$501,2,FALSE)</f>
        <v>S048</v>
      </c>
      <c r="C252" s="7" t="s">
        <v>39</v>
      </c>
      <c r="D252" s="7" t="str">
        <f>VLOOKUP(A252,Combined!$A$1:$C$501,3,FALSE)</f>
        <v>C008</v>
      </c>
      <c r="E252" t="str">
        <f>VLOOKUP(D252,Combined!$C$1:$H$501,6,FALSE)</f>
        <v>Structural Analysis</v>
      </c>
      <c r="F252">
        <f>VLOOKUP(D252,Combined!$C$1:$J$501,8,FALSE)</f>
        <v>4</v>
      </c>
      <c r="N252" t="s">
        <v>510</v>
      </c>
      <c r="O252">
        <v>3</v>
      </c>
    </row>
    <row r="253" spans="1:15">
      <c r="A253" s="9" t="s">
        <v>433</v>
      </c>
      <c r="B253" s="7" t="str">
        <f>VLOOKUP(A253,Combined!$A$1:$C$501,2,FALSE)</f>
        <v>S049</v>
      </c>
      <c r="C253" s="7" t="s">
        <v>75</v>
      </c>
      <c r="D253" s="7" t="str">
        <f>VLOOKUP(A253,Combined!$A$1:$C$501,3,FALSE)</f>
        <v>C010</v>
      </c>
      <c r="E253" t="str">
        <f>VLOOKUP(D253,Combined!$C$1:$H$501,6,FALSE)</f>
        <v>Finance</v>
      </c>
      <c r="F253">
        <f>VLOOKUP(D253,Combined!$C$1:$J$501,8,FALSE)</f>
        <v>4</v>
      </c>
      <c r="M253" t="s">
        <v>65</v>
      </c>
      <c r="O253">
        <v>25</v>
      </c>
    </row>
    <row r="254" spans="1:15">
      <c r="A254" s="8" t="s">
        <v>470</v>
      </c>
      <c r="B254" s="7" t="str">
        <f>VLOOKUP(A254,Combined!$A$1:$C$501,2,FALSE)</f>
        <v>S049</v>
      </c>
      <c r="C254" s="7" t="s">
        <v>75</v>
      </c>
      <c r="D254" s="7" t="str">
        <f>VLOOKUP(A254,Combined!$A$1:$C$501,3,FALSE)</f>
        <v>C009</v>
      </c>
      <c r="E254" t="str">
        <f>VLOOKUP(D254,Combined!$C$1:$H$501,6,FALSE)</f>
        <v>Marketing</v>
      </c>
      <c r="F254">
        <f>VLOOKUP(D254,Combined!$C$1:$J$501,8,FALSE)</f>
        <v>3</v>
      </c>
      <c r="N254" t="s">
        <v>297</v>
      </c>
      <c r="O254">
        <v>4</v>
      </c>
    </row>
    <row r="255" spans="1:15">
      <c r="A255" s="8" t="s">
        <v>218</v>
      </c>
      <c r="B255" s="7" t="str">
        <f>VLOOKUP(A255,Combined!$A$1:$C$501,2,FALSE)</f>
        <v>S050</v>
      </c>
      <c r="C255" s="7" t="s">
        <v>17</v>
      </c>
      <c r="D255" s="7" t="str">
        <f>VLOOKUP(A255,Combined!$A$1:$C$501,3,FALSE)</f>
        <v>C010</v>
      </c>
      <c r="E255" t="str">
        <f>VLOOKUP(D255,Combined!$C$1:$H$501,6,FALSE)</f>
        <v>Finance</v>
      </c>
      <c r="F255">
        <f>VLOOKUP(D255,Combined!$C$1:$J$501,8,FALSE)</f>
        <v>4</v>
      </c>
      <c r="N255" t="s">
        <v>439</v>
      </c>
      <c r="O255">
        <v>3</v>
      </c>
    </row>
    <row r="256" spans="1:15">
      <c r="A256" s="8" t="s">
        <v>352</v>
      </c>
      <c r="B256" s="7" t="str">
        <f>VLOOKUP(A256,Combined!$A$1:$C$501,2,FALSE)</f>
        <v>S050</v>
      </c>
      <c r="C256" s="7" t="s">
        <v>17</v>
      </c>
      <c r="D256" s="7" t="str">
        <f>VLOOKUP(A256,Combined!$A$1:$C$501,3,FALSE)</f>
        <v>C004</v>
      </c>
      <c r="E256" t="str">
        <f>VLOOKUP(D256,Combined!$C$1:$H$501,6,FALSE)</f>
        <v>Circuits</v>
      </c>
      <c r="F256">
        <f>VLOOKUP(D256,Combined!$C$1:$J$501,8,FALSE)</f>
        <v>4</v>
      </c>
      <c r="N256" t="s">
        <v>531</v>
      </c>
      <c r="O256">
        <v>4</v>
      </c>
    </row>
    <row r="257" spans="1:15">
      <c r="A257" s="9" t="s">
        <v>361</v>
      </c>
      <c r="B257" s="7" t="str">
        <f>VLOOKUP(A257,Combined!$A$1:$C$501,2,FALSE)</f>
        <v>S050</v>
      </c>
      <c r="C257" s="7" t="s">
        <v>17</v>
      </c>
      <c r="D257" s="7" t="str">
        <f>VLOOKUP(A257,Combined!$A$1:$C$501,3,FALSE)</f>
        <v>C003</v>
      </c>
      <c r="E257" t="str">
        <f>VLOOKUP(D257,Combined!$C$1:$H$501,6,FALSE)</f>
        <v>Thermodynamics</v>
      </c>
      <c r="F257">
        <f>VLOOKUP(D257,Combined!$C$1:$J$501,8,FALSE)</f>
        <v>3</v>
      </c>
      <c r="N257" t="s">
        <v>554</v>
      </c>
      <c r="O257">
        <v>3</v>
      </c>
    </row>
    <row r="258" spans="1:15">
      <c r="A258" s="9" t="s">
        <v>545</v>
      </c>
      <c r="B258" s="7" t="str">
        <f>VLOOKUP(A258,Combined!$A$1:$C$501,2,FALSE)</f>
        <v>S050</v>
      </c>
      <c r="C258" s="7" t="s">
        <v>17</v>
      </c>
      <c r="D258" s="7" t="str">
        <f>VLOOKUP(A258,Combined!$A$1:$C$501,3,FALSE)</f>
        <v>C008</v>
      </c>
      <c r="E258" t="str">
        <f>VLOOKUP(D258,Combined!$C$1:$H$501,6,FALSE)</f>
        <v>Structural Analysis</v>
      </c>
      <c r="F258">
        <f>VLOOKUP(D258,Combined!$C$1:$J$501,8,FALSE)</f>
        <v>4</v>
      </c>
      <c r="N258" t="s">
        <v>610</v>
      </c>
      <c r="O258">
        <v>4</v>
      </c>
    </row>
    <row r="259" spans="1:15">
      <c r="A259" s="9" t="s">
        <v>627</v>
      </c>
      <c r="B259" s="7" t="str">
        <f>VLOOKUP(A259,Combined!$A$1:$C$501,2,FALSE)</f>
        <v>S050</v>
      </c>
      <c r="C259" s="7" t="s">
        <v>17</v>
      </c>
      <c r="D259" s="7" t="str">
        <f>VLOOKUP(A259,Combined!$A$1:$C$501,3,FALSE)</f>
        <v>C009</v>
      </c>
      <c r="E259" t="str">
        <f>VLOOKUP(D259,Combined!$C$1:$H$501,6,FALSE)</f>
        <v>Marketing</v>
      </c>
      <c r="F259">
        <f>VLOOKUP(D259,Combined!$C$1:$J$501,8,FALSE)</f>
        <v>3</v>
      </c>
      <c r="N259" t="s">
        <v>612</v>
      </c>
      <c r="O259">
        <v>4</v>
      </c>
    </row>
    <row r="260" spans="1:15">
      <c r="A260" s="9" t="s">
        <v>259</v>
      </c>
      <c r="B260" s="7" t="str">
        <f>VLOOKUP(A260,Combined!$A$1:$C$501,2,FALSE)</f>
        <v>S051</v>
      </c>
      <c r="C260" s="7" t="s">
        <v>75</v>
      </c>
      <c r="D260" s="7" t="str">
        <f>VLOOKUP(A260,Combined!$A$1:$C$501,3,FALSE)</f>
        <v>C010</v>
      </c>
      <c r="E260" t="str">
        <f>VLOOKUP(D260,Combined!$C$1:$H$501,6,FALSE)</f>
        <v>Finance</v>
      </c>
      <c r="F260">
        <f>VLOOKUP(D260,Combined!$C$1:$J$501,8,FALSE)</f>
        <v>4</v>
      </c>
      <c r="N260" t="s">
        <v>650</v>
      </c>
      <c r="O260">
        <v>3</v>
      </c>
    </row>
    <row r="261" spans="1:15">
      <c r="A261" s="9" t="s">
        <v>273</v>
      </c>
      <c r="B261" s="7" t="str">
        <f>VLOOKUP(A261,Combined!$A$1:$C$501,2,FALSE)</f>
        <v>S051</v>
      </c>
      <c r="C261" s="7" t="s">
        <v>75</v>
      </c>
      <c r="D261" s="7" t="str">
        <f>VLOOKUP(A261,Combined!$A$1:$C$501,3,FALSE)</f>
        <v>C004</v>
      </c>
      <c r="E261" t="str">
        <f>VLOOKUP(D261,Combined!$C$1:$H$501,6,FALSE)</f>
        <v>Circuits</v>
      </c>
      <c r="F261">
        <f>VLOOKUP(D261,Combined!$C$1:$J$501,8,FALSE)</f>
        <v>4</v>
      </c>
      <c r="M261" t="s">
        <v>66</v>
      </c>
      <c r="O261">
        <v>22</v>
      </c>
    </row>
    <row r="262" spans="1:15">
      <c r="A262" s="9" t="s">
        <v>479</v>
      </c>
      <c r="B262" s="7" t="str">
        <f>VLOOKUP(A262,Combined!$A$1:$C$501,2,FALSE)</f>
        <v>S051</v>
      </c>
      <c r="C262" s="7" t="s">
        <v>75</v>
      </c>
      <c r="D262" s="7" t="str">
        <f>VLOOKUP(A262,Combined!$A$1:$C$501,3,FALSE)</f>
        <v>C005</v>
      </c>
      <c r="E262" t="str">
        <f>VLOOKUP(D262,Combined!$C$1:$H$501,6,FALSE)</f>
        <v>AI &amp; ML</v>
      </c>
      <c r="F262">
        <f>VLOOKUP(D262,Combined!$C$1:$J$501,8,FALSE)</f>
        <v>3</v>
      </c>
      <c r="N262" t="s">
        <v>262</v>
      </c>
      <c r="O262">
        <v>4</v>
      </c>
    </row>
    <row r="263" spans="1:15">
      <c r="A263" s="9" t="s">
        <v>657</v>
      </c>
      <c r="B263" s="7" t="str">
        <f>VLOOKUP(A263,Combined!$A$1:$C$501,2,FALSE)</f>
        <v>S051</v>
      </c>
      <c r="C263" s="7" t="s">
        <v>75</v>
      </c>
      <c r="D263" s="7" t="str">
        <f>VLOOKUP(A263,Combined!$A$1:$C$501,3,FALSE)</f>
        <v>C006</v>
      </c>
      <c r="E263" t="str">
        <f>VLOOKUP(D263,Combined!$C$1:$H$501,6,FALSE)</f>
        <v>Fluid Mechanics</v>
      </c>
      <c r="F263">
        <f>VLOOKUP(D263,Combined!$C$1:$J$501,8,FALSE)</f>
        <v>4</v>
      </c>
      <c r="N263" t="s">
        <v>373</v>
      </c>
      <c r="O263">
        <v>3</v>
      </c>
    </row>
    <row r="264" spans="1:15">
      <c r="A264" s="9" t="s">
        <v>223</v>
      </c>
      <c r="B264" s="7" t="str">
        <f>VLOOKUP(A264,Combined!$A$1:$C$501,2,FALSE)</f>
        <v>S052</v>
      </c>
      <c r="C264" s="7" t="s">
        <v>47</v>
      </c>
      <c r="D264" s="7" t="str">
        <f>VLOOKUP(A264,Combined!$A$1:$C$501,3,FALSE)</f>
        <v>C005</v>
      </c>
      <c r="E264" t="str">
        <f>VLOOKUP(D264,Combined!$C$1:$H$501,6,FALSE)</f>
        <v>AI &amp; ML</v>
      </c>
      <c r="F264">
        <f>VLOOKUP(D264,Combined!$C$1:$J$501,8,FALSE)</f>
        <v>3</v>
      </c>
      <c r="N264" t="s">
        <v>393</v>
      </c>
      <c r="O264">
        <v>3</v>
      </c>
    </row>
    <row r="265" spans="1:15">
      <c r="A265" s="9" t="s">
        <v>429</v>
      </c>
      <c r="B265" s="7" t="str">
        <f>VLOOKUP(A265,Combined!$A$1:$C$501,2,FALSE)</f>
        <v>S052</v>
      </c>
      <c r="C265" s="7" t="s">
        <v>47</v>
      </c>
      <c r="D265" s="7" t="str">
        <f>VLOOKUP(A265,Combined!$A$1:$C$501,3,FALSE)</f>
        <v>C007</v>
      </c>
      <c r="E265" t="str">
        <f>VLOOKUP(D265,Combined!$C$1:$H$501,6,FALSE)</f>
        <v>Digital Logic</v>
      </c>
      <c r="F265">
        <f>VLOOKUP(D265,Combined!$C$1:$J$501,8,FALSE)</f>
        <v>3</v>
      </c>
      <c r="N265" t="s">
        <v>431</v>
      </c>
      <c r="O265">
        <v>4</v>
      </c>
    </row>
    <row r="266" spans="1:15">
      <c r="A266" s="9" t="s">
        <v>475</v>
      </c>
      <c r="B266" s="7" t="str">
        <f>VLOOKUP(A266,Combined!$A$1:$C$501,2,FALSE)</f>
        <v>S052</v>
      </c>
      <c r="C266" s="7" t="s">
        <v>47</v>
      </c>
      <c r="D266" s="7" t="str">
        <f>VLOOKUP(A266,Combined!$A$1:$C$501,3,FALSE)</f>
        <v>C001</v>
      </c>
      <c r="E266" t="str">
        <f>VLOOKUP(D266,Combined!$C$1:$H$501,6,FALSE)</f>
        <v>Data Structures</v>
      </c>
      <c r="F266">
        <f>VLOOKUP(D266,Combined!$C$1:$J$501,8,FALSE)</f>
        <v>3</v>
      </c>
      <c r="N266" t="s">
        <v>468</v>
      </c>
      <c r="O266">
        <v>4</v>
      </c>
    </row>
    <row r="267" spans="1:15">
      <c r="A267" s="9" t="s">
        <v>337</v>
      </c>
      <c r="B267" s="7" t="str">
        <f>VLOOKUP(A267,Combined!$A$1:$C$501,2,FALSE)</f>
        <v>S053</v>
      </c>
      <c r="C267" s="7" t="s">
        <v>17</v>
      </c>
      <c r="D267" s="7" t="str">
        <f>VLOOKUP(A267,Combined!$A$1:$C$501,3,FALSE)</f>
        <v>C008</v>
      </c>
      <c r="E267" t="str">
        <f>VLOOKUP(D267,Combined!$C$1:$H$501,6,FALSE)</f>
        <v>Structural Analysis</v>
      </c>
      <c r="F267">
        <f>VLOOKUP(D267,Combined!$C$1:$J$501,8,FALSE)</f>
        <v>4</v>
      </c>
      <c r="N267" t="s">
        <v>616</v>
      </c>
      <c r="O267">
        <v>4</v>
      </c>
    </row>
    <row r="268" spans="1:15">
      <c r="A268" s="9" t="s">
        <v>501</v>
      </c>
      <c r="B268" s="7" t="str">
        <f>VLOOKUP(A268,Combined!$A$1:$C$501,2,FALSE)</f>
        <v>S053</v>
      </c>
      <c r="C268" s="7" t="s">
        <v>17</v>
      </c>
      <c r="D268" s="7" t="str">
        <f>VLOOKUP(A268,Combined!$A$1:$C$501,3,FALSE)</f>
        <v>C006</v>
      </c>
      <c r="E268" t="str">
        <f>VLOOKUP(D268,Combined!$C$1:$H$501,6,FALSE)</f>
        <v>Fluid Mechanics</v>
      </c>
      <c r="F268">
        <f>VLOOKUP(D268,Combined!$C$1:$J$501,8,FALSE)</f>
        <v>4</v>
      </c>
      <c r="M268" t="s">
        <v>68</v>
      </c>
      <c r="O268">
        <v>10</v>
      </c>
    </row>
    <row r="269" spans="1:15">
      <c r="A269" s="9" t="s">
        <v>647</v>
      </c>
      <c r="B269" s="7" t="str">
        <f>VLOOKUP(A269,Combined!$A$1:$C$501,2,FALSE)</f>
        <v>S053</v>
      </c>
      <c r="C269" s="7" t="s">
        <v>17</v>
      </c>
      <c r="D269" s="7" t="str">
        <f>VLOOKUP(A269,Combined!$A$1:$C$501,3,FALSE)</f>
        <v>C009</v>
      </c>
      <c r="E269" t="str">
        <f>VLOOKUP(D269,Combined!$C$1:$H$501,6,FALSE)</f>
        <v>Marketing</v>
      </c>
      <c r="F269">
        <f>VLOOKUP(D269,Combined!$C$1:$J$501,8,FALSE)</f>
        <v>3</v>
      </c>
      <c r="N269" t="s">
        <v>416</v>
      </c>
      <c r="O269">
        <v>4</v>
      </c>
    </row>
    <row r="270" spans="1:15">
      <c r="A270" s="8" t="s">
        <v>664</v>
      </c>
      <c r="B270" s="7" t="str">
        <f>VLOOKUP(A270,Combined!$A$1:$C$501,2,FALSE)</f>
        <v>S053</v>
      </c>
      <c r="C270" s="7" t="s">
        <v>17</v>
      </c>
      <c r="D270" s="7" t="str">
        <f>VLOOKUP(A270,Combined!$A$1:$C$501,3,FALSE)</f>
        <v>C006</v>
      </c>
      <c r="E270" t="str">
        <f>VLOOKUP(D270,Combined!$C$1:$H$501,6,FALSE)</f>
        <v>Fluid Mechanics</v>
      </c>
      <c r="F270">
        <f>VLOOKUP(D270,Combined!$C$1:$J$501,8,FALSE)</f>
        <v>4</v>
      </c>
      <c r="N270" t="s">
        <v>480</v>
      </c>
      <c r="O270">
        <v>3</v>
      </c>
    </row>
    <row r="271" spans="1:15">
      <c r="A271" s="8" t="s">
        <v>666</v>
      </c>
      <c r="B271" s="7" t="str">
        <f>VLOOKUP(A271,Combined!$A$1:$C$501,2,FALSE)</f>
        <v>S053</v>
      </c>
      <c r="C271" s="7" t="s">
        <v>17</v>
      </c>
      <c r="D271" s="7" t="str">
        <f>VLOOKUP(A271,Combined!$A$1:$C$501,3,FALSE)</f>
        <v>C008</v>
      </c>
      <c r="E271" t="str">
        <f>VLOOKUP(D271,Combined!$C$1:$H$501,6,FALSE)</f>
        <v>Structural Analysis</v>
      </c>
      <c r="F271">
        <f>VLOOKUP(D271,Combined!$C$1:$J$501,8,FALSE)</f>
        <v>4</v>
      </c>
      <c r="N271" t="s">
        <v>673</v>
      </c>
      <c r="O271">
        <v>3</v>
      </c>
    </row>
    <row r="272" spans="1:15">
      <c r="A272" s="8" t="s">
        <v>254</v>
      </c>
      <c r="B272" s="7" t="str">
        <f>VLOOKUP(A272,Combined!$A$1:$C$501,2,FALSE)</f>
        <v>S054</v>
      </c>
      <c r="C272" s="7" t="s">
        <v>10</v>
      </c>
      <c r="D272" s="7" t="str">
        <f>VLOOKUP(A272,Combined!$A$1:$C$501,3,FALSE)</f>
        <v>C009</v>
      </c>
      <c r="E272" t="str">
        <f>VLOOKUP(D272,Combined!$C$1:$H$501,6,FALSE)</f>
        <v>Marketing</v>
      </c>
      <c r="F272">
        <f>VLOOKUP(D272,Combined!$C$1:$J$501,8,FALSE)</f>
        <v>3</v>
      </c>
      <c r="M272" t="s">
        <v>69</v>
      </c>
      <c r="O272">
        <v>10</v>
      </c>
    </row>
    <row r="273" spans="1:15">
      <c r="A273" s="9" t="s">
        <v>409</v>
      </c>
      <c r="B273" s="7" t="str">
        <f>VLOOKUP(A273,Combined!$A$1:$C$501,2,FALSE)</f>
        <v>S054</v>
      </c>
      <c r="C273" s="7" t="s">
        <v>10</v>
      </c>
      <c r="D273" s="7" t="str">
        <f>VLOOKUP(A273,Combined!$A$1:$C$501,3,FALSE)</f>
        <v>C002</v>
      </c>
      <c r="E273" t="str">
        <f>VLOOKUP(D273,Combined!$C$1:$H$501,6,FALSE)</f>
        <v>DBMS</v>
      </c>
      <c r="F273">
        <f>VLOOKUP(D273,Combined!$C$1:$J$501,8,FALSE)</f>
        <v>4</v>
      </c>
      <c r="N273" t="s">
        <v>263</v>
      </c>
      <c r="O273">
        <v>3</v>
      </c>
    </row>
    <row r="274" spans="1:15">
      <c r="A274" s="9" t="s">
        <v>457</v>
      </c>
      <c r="B274" s="7" t="str">
        <f>VLOOKUP(A274,Combined!$A$1:$C$501,2,FALSE)</f>
        <v>S054</v>
      </c>
      <c r="C274" s="7" t="s">
        <v>10</v>
      </c>
      <c r="D274" s="7" t="str">
        <f>VLOOKUP(A274,Combined!$A$1:$C$501,3,FALSE)</f>
        <v>C008</v>
      </c>
      <c r="E274" t="str">
        <f>VLOOKUP(D274,Combined!$C$1:$H$501,6,FALSE)</f>
        <v>Structural Analysis</v>
      </c>
      <c r="F274">
        <f>VLOOKUP(D274,Combined!$C$1:$J$501,8,FALSE)</f>
        <v>4</v>
      </c>
      <c r="N274" t="s">
        <v>284</v>
      </c>
      <c r="O274">
        <v>3</v>
      </c>
    </row>
    <row r="275" spans="1:15">
      <c r="A275" s="8" t="s">
        <v>462</v>
      </c>
      <c r="B275" s="7" t="str">
        <f>VLOOKUP(A275,Combined!$A$1:$C$501,2,FALSE)</f>
        <v>S054</v>
      </c>
      <c r="C275" s="7" t="s">
        <v>10</v>
      </c>
      <c r="D275" s="7" t="str">
        <f>VLOOKUP(A275,Combined!$A$1:$C$501,3,FALSE)</f>
        <v>C005</v>
      </c>
      <c r="E275" t="str">
        <f>VLOOKUP(D275,Combined!$C$1:$H$501,6,FALSE)</f>
        <v>AI &amp; ML</v>
      </c>
      <c r="F275">
        <f>VLOOKUP(D275,Combined!$C$1:$J$501,8,FALSE)</f>
        <v>3</v>
      </c>
      <c r="N275" t="s">
        <v>437</v>
      </c>
      <c r="O275">
        <v>4</v>
      </c>
    </row>
    <row r="276" spans="1:15">
      <c r="A276" s="8" t="s">
        <v>640</v>
      </c>
      <c r="B276" s="7" t="str">
        <f>VLOOKUP(A276,Combined!$A$1:$C$501,2,FALSE)</f>
        <v>S054</v>
      </c>
      <c r="C276" s="7" t="s">
        <v>10</v>
      </c>
      <c r="D276" s="7" t="str">
        <f>VLOOKUP(A276,Combined!$A$1:$C$501,3,FALSE)</f>
        <v>C010</v>
      </c>
      <c r="E276" t="str">
        <f>VLOOKUP(D276,Combined!$C$1:$H$501,6,FALSE)</f>
        <v>Finance</v>
      </c>
      <c r="F276">
        <f>VLOOKUP(D276,Combined!$C$1:$J$501,8,FALSE)</f>
        <v>4</v>
      </c>
      <c r="M276" t="s">
        <v>70</v>
      </c>
      <c r="O276">
        <v>25</v>
      </c>
    </row>
    <row r="277" spans="1:15">
      <c r="A277" s="8" t="s">
        <v>646</v>
      </c>
      <c r="B277" s="7" t="str">
        <f>VLOOKUP(A277,Combined!$A$1:$C$501,2,FALSE)</f>
        <v>S054</v>
      </c>
      <c r="C277" s="7" t="s">
        <v>10</v>
      </c>
      <c r="D277" s="7" t="str">
        <f>VLOOKUP(A277,Combined!$A$1:$C$501,3,FALSE)</f>
        <v>C003</v>
      </c>
      <c r="E277" t="str">
        <f>VLOOKUP(D277,Combined!$C$1:$H$501,6,FALSE)</f>
        <v>Thermodynamics</v>
      </c>
      <c r="F277">
        <f>VLOOKUP(D277,Combined!$C$1:$J$501,8,FALSE)</f>
        <v>3</v>
      </c>
      <c r="N277" t="s">
        <v>208</v>
      </c>
      <c r="O277">
        <v>3</v>
      </c>
    </row>
    <row r="278" spans="1:15">
      <c r="A278" s="9" t="s">
        <v>691</v>
      </c>
      <c r="B278" s="7" t="str">
        <f>VLOOKUP(A278,Combined!$A$1:$C$501,2,FALSE)</f>
        <v>S054</v>
      </c>
      <c r="C278" s="7" t="s">
        <v>10</v>
      </c>
      <c r="D278" s="7" t="str">
        <f>VLOOKUP(A278,Combined!$A$1:$C$501,3,FALSE)</f>
        <v>C009</v>
      </c>
      <c r="E278" t="str">
        <f>VLOOKUP(D278,Combined!$C$1:$H$501,6,FALSE)</f>
        <v>Marketing</v>
      </c>
      <c r="F278">
        <f>VLOOKUP(D278,Combined!$C$1:$J$501,8,FALSE)</f>
        <v>3</v>
      </c>
      <c r="N278" t="s">
        <v>335</v>
      </c>
      <c r="O278">
        <v>3</v>
      </c>
    </row>
    <row r="279" spans="1:15">
      <c r="A279" s="8" t="s">
        <v>322</v>
      </c>
      <c r="B279" s="7" t="str">
        <f>VLOOKUP(A279,Combined!$A$1:$C$501,2,FALSE)</f>
        <v>S055</v>
      </c>
      <c r="C279" s="7" t="s">
        <v>28</v>
      </c>
      <c r="D279" s="7" t="str">
        <f>VLOOKUP(A279,Combined!$A$1:$C$501,3,FALSE)</f>
        <v>C002</v>
      </c>
      <c r="E279" t="str">
        <f>VLOOKUP(D279,Combined!$C$1:$H$501,6,FALSE)</f>
        <v>DBMS</v>
      </c>
      <c r="F279">
        <f>VLOOKUP(D279,Combined!$C$1:$J$501,8,FALSE)</f>
        <v>4</v>
      </c>
      <c r="N279" t="s">
        <v>357</v>
      </c>
      <c r="O279">
        <v>4</v>
      </c>
    </row>
    <row r="280" spans="1:15">
      <c r="A280" s="9" t="s">
        <v>451</v>
      </c>
      <c r="B280" s="7" t="str">
        <f>VLOOKUP(A280,Combined!$A$1:$C$501,2,FALSE)</f>
        <v>S055</v>
      </c>
      <c r="C280" s="7" t="s">
        <v>28</v>
      </c>
      <c r="D280" s="7" t="str">
        <f>VLOOKUP(A280,Combined!$A$1:$C$501,3,FALSE)</f>
        <v>C009</v>
      </c>
      <c r="E280" t="str">
        <f>VLOOKUP(D280,Combined!$C$1:$H$501,6,FALSE)</f>
        <v>Marketing</v>
      </c>
      <c r="F280">
        <f>VLOOKUP(D280,Combined!$C$1:$J$501,8,FALSE)</f>
        <v>3</v>
      </c>
      <c r="N280" t="s">
        <v>449</v>
      </c>
      <c r="O280">
        <v>3</v>
      </c>
    </row>
    <row r="281" spans="1:15">
      <c r="A281" s="9" t="s">
        <v>217</v>
      </c>
      <c r="B281" s="7" t="str">
        <f>VLOOKUP(A281,Combined!$A$1:$C$501,2,FALSE)</f>
        <v>S056</v>
      </c>
      <c r="C281" s="7" t="s">
        <v>75</v>
      </c>
      <c r="D281" s="7" t="str">
        <f>VLOOKUP(A281,Combined!$A$1:$C$501,3,FALSE)</f>
        <v>C010</v>
      </c>
      <c r="E281" t="str">
        <f>VLOOKUP(D281,Combined!$C$1:$H$501,6,FALSE)</f>
        <v>Finance</v>
      </c>
      <c r="F281">
        <f>VLOOKUP(D281,Combined!$C$1:$J$501,8,FALSE)</f>
        <v>4</v>
      </c>
      <c r="N281" t="s">
        <v>463</v>
      </c>
      <c r="O281">
        <v>3</v>
      </c>
    </row>
    <row r="282" spans="1:15">
      <c r="A282" s="8" t="s">
        <v>278</v>
      </c>
      <c r="B282" s="7" t="str">
        <f>VLOOKUP(A282,Combined!$A$1:$C$501,2,FALSE)</f>
        <v>S056</v>
      </c>
      <c r="C282" s="7" t="s">
        <v>75</v>
      </c>
      <c r="D282" s="7" t="str">
        <f>VLOOKUP(A282,Combined!$A$1:$C$501,3,FALSE)</f>
        <v>C006</v>
      </c>
      <c r="E282" t="str">
        <f>VLOOKUP(D282,Combined!$C$1:$H$501,6,FALSE)</f>
        <v>Fluid Mechanics</v>
      </c>
      <c r="F282">
        <f>VLOOKUP(D282,Combined!$C$1:$J$501,8,FALSE)</f>
        <v>4</v>
      </c>
      <c r="N282" t="s">
        <v>482</v>
      </c>
      <c r="O282">
        <v>3</v>
      </c>
    </row>
    <row r="283" spans="1:15">
      <c r="A283" s="9" t="s">
        <v>279</v>
      </c>
      <c r="B283" s="7" t="str">
        <f>VLOOKUP(A283,Combined!$A$1:$C$501,2,FALSE)</f>
        <v>S056</v>
      </c>
      <c r="C283" s="7" t="s">
        <v>75</v>
      </c>
      <c r="D283" s="7" t="str">
        <f>VLOOKUP(A283,Combined!$A$1:$C$501,3,FALSE)</f>
        <v>C003</v>
      </c>
      <c r="E283" t="str">
        <f>VLOOKUP(D283,Combined!$C$1:$H$501,6,FALSE)</f>
        <v>Thermodynamics</v>
      </c>
      <c r="F283">
        <f>VLOOKUP(D283,Combined!$C$1:$J$501,8,FALSE)</f>
        <v>3</v>
      </c>
      <c r="N283" t="s">
        <v>597</v>
      </c>
      <c r="O283">
        <v>3</v>
      </c>
    </row>
    <row r="284" spans="1:15">
      <c r="A284" s="9" t="s">
        <v>281</v>
      </c>
      <c r="B284" s="7" t="str">
        <f>VLOOKUP(A284,Combined!$A$1:$C$501,2,FALSE)</f>
        <v>S056</v>
      </c>
      <c r="C284" s="7" t="s">
        <v>75</v>
      </c>
      <c r="D284" s="7" t="str">
        <f>VLOOKUP(A284,Combined!$A$1:$C$501,3,FALSE)</f>
        <v>C010</v>
      </c>
      <c r="E284" t="str">
        <f>VLOOKUP(D284,Combined!$C$1:$H$501,6,FALSE)</f>
        <v>Finance</v>
      </c>
      <c r="F284">
        <f>VLOOKUP(D284,Combined!$C$1:$J$501,8,FALSE)</f>
        <v>4</v>
      </c>
      <c r="N284" t="s">
        <v>655</v>
      </c>
      <c r="O284">
        <v>3</v>
      </c>
    </row>
    <row r="285" spans="1:15">
      <c r="A285" s="9" t="s">
        <v>329</v>
      </c>
      <c r="B285" s="7" t="str">
        <f>VLOOKUP(A285,Combined!$A$1:$C$501,2,FALSE)</f>
        <v>S056</v>
      </c>
      <c r="C285" s="7" t="s">
        <v>75</v>
      </c>
      <c r="D285" s="7" t="str">
        <f>VLOOKUP(A285,Combined!$A$1:$C$501,3,FALSE)</f>
        <v>C006</v>
      </c>
      <c r="E285" t="str">
        <f>VLOOKUP(D285,Combined!$C$1:$H$501,6,FALSE)</f>
        <v>Fluid Mechanics</v>
      </c>
      <c r="F285">
        <f>VLOOKUP(D285,Combined!$C$1:$J$501,8,FALSE)</f>
        <v>4</v>
      </c>
      <c r="M285" t="s">
        <v>72</v>
      </c>
      <c r="O285">
        <v>22</v>
      </c>
    </row>
    <row r="286" spans="1:15">
      <c r="A286" s="8" t="s">
        <v>436</v>
      </c>
      <c r="B286" s="7" t="str">
        <f>VLOOKUP(A286,Combined!$A$1:$C$501,2,FALSE)</f>
        <v>S056</v>
      </c>
      <c r="C286" s="7" t="s">
        <v>75</v>
      </c>
      <c r="D286" s="7" t="str">
        <f>VLOOKUP(A286,Combined!$A$1:$C$501,3,FALSE)</f>
        <v>C008</v>
      </c>
      <c r="E286" t="str">
        <f>VLOOKUP(D286,Combined!$C$1:$H$501,6,FALSE)</f>
        <v>Structural Analysis</v>
      </c>
      <c r="F286">
        <f>VLOOKUP(D286,Combined!$C$1:$J$501,8,FALSE)</f>
        <v>4</v>
      </c>
      <c r="N286" t="s">
        <v>220</v>
      </c>
      <c r="O286">
        <v>3</v>
      </c>
    </row>
    <row r="287" spans="1:15">
      <c r="A287" s="9" t="s">
        <v>477</v>
      </c>
      <c r="B287" s="7" t="str">
        <f>VLOOKUP(A287,Combined!$A$1:$C$501,2,FALSE)</f>
        <v>S056</v>
      </c>
      <c r="C287" s="7" t="s">
        <v>75</v>
      </c>
      <c r="D287" s="7" t="str">
        <f>VLOOKUP(A287,Combined!$A$1:$C$501,3,FALSE)</f>
        <v>C002</v>
      </c>
      <c r="E287" t="str">
        <f>VLOOKUP(D287,Combined!$C$1:$H$501,6,FALSE)</f>
        <v>DBMS</v>
      </c>
      <c r="F287">
        <f>VLOOKUP(D287,Combined!$C$1:$J$501,8,FALSE)</f>
        <v>4</v>
      </c>
      <c r="N287" t="s">
        <v>301</v>
      </c>
      <c r="O287">
        <v>3</v>
      </c>
    </row>
    <row r="288" spans="1:15">
      <c r="A288" s="9" t="s">
        <v>313</v>
      </c>
      <c r="B288" s="7" t="str">
        <f>VLOOKUP(A288,Combined!$A$1:$C$501,2,FALSE)</f>
        <v>S057</v>
      </c>
      <c r="C288" s="7" t="s">
        <v>20</v>
      </c>
      <c r="D288" s="7" t="str">
        <f>VLOOKUP(A288,Combined!$A$1:$C$501,3,FALSE)</f>
        <v>C005</v>
      </c>
      <c r="E288" t="str">
        <f>VLOOKUP(D288,Combined!$C$1:$H$501,6,FALSE)</f>
        <v>AI &amp; ML</v>
      </c>
      <c r="F288">
        <f>VLOOKUP(D288,Combined!$C$1:$J$501,8,FALSE)</f>
        <v>3</v>
      </c>
      <c r="N288" t="s">
        <v>500</v>
      </c>
      <c r="O288">
        <v>4</v>
      </c>
    </row>
    <row r="289" spans="1:15">
      <c r="A289" s="8" t="s">
        <v>328</v>
      </c>
      <c r="B289" s="7" t="str">
        <f>VLOOKUP(A289,Combined!$A$1:$C$501,2,FALSE)</f>
        <v>S057</v>
      </c>
      <c r="C289" s="7" t="s">
        <v>20</v>
      </c>
      <c r="D289" s="7" t="str">
        <f>VLOOKUP(A289,Combined!$A$1:$C$501,3,FALSE)</f>
        <v>C002</v>
      </c>
      <c r="E289" t="str">
        <f>VLOOKUP(D289,Combined!$C$1:$H$501,6,FALSE)</f>
        <v>DBMS</v>
      </c>
      <c r="F289">
        <f>VLOOKUP(D289,Combined!$C$1:$J$501,8,FALSE)</f>
        <v>4</v>
      </c>
      <c r="N289" t="s">
        <v>569</v>
      </c>
      <c r="O289">
        <v>3</v>
      </c>
    </row>
    <row r="290" spans="1:15">
      <c r="A290" s="9" t="s">
        <v>381</v>
      </c>
      <c r="B290" s="7" t="str">
        <f>VLOOKUP(A290,Combined!$A$1:$C$501,2,FALSE)</f>
        <v>S057</v>
      </c>
      <c r="C290" s="7" t="s">
        <v>20</v>
      </c>
      <c r="D290" s="7" t="str">
        <f>VLOOKUP(A290,Combined!$A$1:$C$501,3,FALSE)</f>
        <v>C006</v>
      </c>
      <c r="E290" t="str">
        <f>VLOOKUP(D290,Combined!$C$1:$H$501,6,FALSE)</f>
        <v>Fluid Mechanics</v>
      </c>
      <c r="F290">
        <f>VLOOKUP(D290,Combined!$C$1:$J$501,8,FALSE)</f>
        <v>4</v>
      </c>
      <c r="N290" t="s">
        <v>572</v>
      </c>
      <c r="O290">
        <v>3</v>
      </c>
    </row>
    <row r="291" spans="1:15">
      <c r="A291" s="9" t="s">
        <v>411</v>
      </c>
      <c r="B291" s="7" t="str">
        <f>VLOOKUP(A291,Combined!$A$1:$C$501,2,FALSE)</f>
        <v>S057</v>
      </c>
      <c r="C291" s="7" t="s">
        <v>20</v>
      </c>
      <c r="D291" s="7" t="str">
        <f>VLOOKUP(A291,Combined!$A$1:$C$501,3,FALSE)</f>
        <v>C008</v>
      </c>
      <c r="E291" t="str">
        <f>VLOOKUP(D291,Combined!$C$1:$H$501,6,FALSE)</f>
        <v>Structural Analysis</v>
      </c>
      <c r="F291">
        <f>VLOOKUP(D291,Combined!$C$1:$J$501,8,FALSE)</f>
        <v>4</v>
      </c>
      <c r="N291" t="s">
        <v>587</v>
      </c>
      <c r="O291">
        <v>3</v>
      </c>
    </row>
    <row r="292" spans="1:15">
      <c r="A292" s="8" t="s">
        <v>518</v>
      </c>
      <c r="B292" s="7" t="str">
        <f>VLOOKUP(A292,Combined!$A$1:$C$501,2,FALSE)</f>
        <v>S057</v>
      </c>
      <c r="C292" s="7" t="s">
        <v>20</v>
      </c>
      <c r="D292" s="7" t="str">
        <f>VLOOKUP(A292,Combined!$A$1:$C$501,3,FALSE)</f>
        <v>C010</v>
      </c>
      <c r="E292" t="str">
        <f>VLOOKUP(D292,Combined!$C$1:$H$501,6,FALSE)</f>
        <v>Finance</v>
      </c>
      <c r="F292">
        <f>VLOOKUP(D292,Combined!$C$1:$J$501,8,FALSE)</f>
        <v>4</v>
      </c>
      <c r="N292" t="s">
        <v>626</v>
      </c>
      <c r="O292">
        <v>3</v>
      </c>
    </row>
    <row r="293" spans="1:15">
      <c r="A293" s="8" t="s">
        <v>608</v>
      </c>
      <c r="B293" s="7" t="str">
        <f>VLOOKUP(A293,Combined!$A$1:$C$501,2,FALSE)</f>
        <v>S057</v>
      </c>
      <c r="C293" s="7" t="s">
        <v>20</v>
      </c>
      <c r="D293" s="7" t="str">
        <f>VLOOKUP(A293,Combined!$A$1:$C$501,3,FALSE)</f>
        <v>C007</v>
      </c>
      <c r="E293" t="str">
        <f>VLOOKUP(D293,Combined!$C$1:$H$501,6,FALSE)</f>
        <v>Digital Logic</v>
      </c>
      <c r="F293">
        <f>VLOOKUP(D293,Combined!$C$1:$J$501,8,FALSE)</f>
        <v>3</v>
      </c>
      <c r="M293" t="s">
        <v>73</v>
      </c>
      <c r="O293">
        <v>16</v>
      </c>
    </row>
    <row r="294" spans="1:15">
      <c r="A294" s="9" t="s">
        <v>659</v>
      </c>
      <c r="B294" s="7" t="str">
        <f>VLOOKUP(A294,Combined!$A$1:$C$501,2,FALSE)</f>
        <v>S057</v>
      </c>
      <c r="C294" s="7" t="s">
        <v>20</v>
      </c>
      <c r="D294" s="7" t="str">
        <f>VLOOKUP(A294,Combined!$A$1:$C$501,3,FALSE)</f>
        <v>C005</v>
      </c>
      <c r="E294" t="str">
        <f>VLOOKUP(D294,Combined!$C$1:$H$501,6,FALSE)</f>
        <v>AI &amp; ML</v>
      </c>
      <c r="F294">
        <f>VLOOKUP(D294,Combined!$C$1:$J$501,8,FALSE)</f>
        <v>3</v>
      </c>
      <c r="N294" t="s">
        <v>374</v>
      </c>
      <c r="O294">
        <v>3</v>
      </c>
    </row>
    <row r="295" spans="1:15">
      <c r="A295" s="9" t="s">
        <v>243</v>
      </c>
      <c r="B295" s="7" t="str">
        <f>VLOOKUP(A295,Combined!$A$1:$C$501,2,FALSE)</f>
        <v>S058</v>
      </c>
      <c r="C295" s="7" t="s">
        <v>6</v>
      </c>
      <c r="D295" s="7" t="str">
        <f>VLOOKUP(A295,Combined!$A$1:$C$501,3,FALSE)</f>
        <v>C005</v>
      </c>
      <c r="E295" t="str">
        <f>VLOOKUP(D295,Combined!$C$1:$H$501,6,FALSE)</f>
        <v>AI &amp; ML</v>
      </c>
      <c r="F295">
        <f>VLOOKUP(D295,Combined!$C$1:$J$501,8,FALSE)</f>
        <v>3</v>
      </c>
      <c r="N295" t="s">
        <v>408</v>
      </c>
      <c r="O295">
        <v>3</v>
      </c>
    </row>
    <row r="296" spans="1:15">
      <c r="A296" s="8" t="s">
        <v>290</v>
      </c>
      <c r="B296" s="7" t="str">
        <f>VLOOKUP(A296,Combined!$A$1:$C$501,2,FALSE)</f>
        <v>S058</v>
      </c>
      <c r="C296" s="7" t="s">
        <v>6</v>
      </c>
      <c r="D296" s="7" t="str">
        <f>VLOOKUP(A296,Combined!$A$1:$C$501,3,FALSE)</f>
        <v>C001</v>
      </c>
      <c r="E296" t="str">
        <f>VLOOKUP(D296,Combined!$C$1:$H$501,6,FALSE)</f>
        <v>Data Structures</v>
      </c>
      <c r="F296">
        <f>VLOOKUP(D296,Combined!$C$1:$J$501,8,FALSE)</f>
        <v>3</v>
      </c>
      <c r="N296" t="s">
        <v>458</v>
      </c>
      <c r="O296">
        <v>3</v>
      </c>
    </row>
    <row r="297" spans="1:15">
      <c r="A297" s="8" t="s">
        <v>426</v>
      </c>
      <c r="B297" s="7" t="str">
        <f>VLOOKUP(A297,Combined!$A$1:$C$501,2,FALSE)</f>
        <v>S058</v>
      </c>
      <c r="C297" s="7" t="s">
        <v>6</v>
      </c>
      <c r="D297" s="7" t="str">
        <f>VLOOKUP(A297,Combined!$A$1:$C$501,3,FALSE)</f>
        <v>C009</v>
      </c>
      <c r="E297" t="str">
        <f>VLOOKUP(D297,Combined!$C$1:$H$501,6,FALSE)</f>
        <v>Marketing</v>
      </c>
      <c r="F297">
        <f>VLOOKUP(D297,Combined!$C$1:$J$501,8,FALSE)</f>
        <v>3</v>
      </c>
      <c r="N297" t="s">
        <v>546</v>
      </c>
      <c r="O297">
        <v>3</v>
      </c>
    </row>
    <row r="298" spans="1:15">
      <c r="A298" s="9" t="s">
        <v>491</v>
      </c>
      <c r="B298" s="7" t="str">
        <f>VLOOKUP(A298,Combined!$A$1:$C$501,2,FALSE)</f>
        <v>S058</v>
      </c>
      <c r="C298" s="7" t="s">
        <v>6</v>
      </c>
      <c r="D298" s="7" t="str">
        <f>VLOOKUP(A298,Combined!$A$1:$C$501,3,FALSE)</f>
        <v>C001</v>
      </c>
      <c r="E298" t="str">
        <f>VLOOKUP(D298,Combined!$C$1:$H$501,6,FALSE)</f>
        <v>Data Structures</v>
      </c>
      <c r="F298">
        <f>VLOOKUP(D298,Combined!$C$1:$J$501,8,FALSE)</f>
        <v>3</v>
      </c>
      <c r="N298" t="s">
        <v>574</v>
      </c>
      <c r="O298">
        <v>4</v>
      </c>
    </row>
    <row r="299" spans="1:15">
      <c r="A299" s="8" t="s">
        <v>494</v>
      </c>
      <c r="B299" s="7" t="str">
        <f>VLOOKUP(A299,Combined!$A$1:$C$501,2,FALSE)</f>
        <v>S058</v>
      </c>
      <c r="C299" s="7" t="s">
        <v>6</v>
      </c>
      <c r="D299" s="7" t="str">
        <f>VLOOKUP(A299,Combined!$A$1:$C$501,3,FALSE)</f>
        <v>C010</v>
      </c>
      <c r="E299" t="str">
        <f>VLOOKUP(D299,Combined!$C$1:$H$501,6,FALSE)</f>
        <v>Finance</v>
      </c>
      <c r="F299">
        <f>VLOOKUP(D299,Combined!$C$1:$J$501,8,FALSE)</f>
        <v>4</v>
      </c>
      <c r="M299" t="s">
        <v>74</v>
      </c>
      <c r="O299">
        <v>7</v>
      </c>
    </row>
    <row r="300" spans="1:15">
      <c r="A300" s="8" t="s">
        <v>526</v>
      </c>
      <c r="B300" s="7" t="str">
        <f>VLOOKUP(A300,Combined!$A$1:$C$501,2,FALSE)</f>
        <v>S058</v>
      </c>
      <c r="C300" s="7" t="s">
        <v>6</v>
      </c>
      <c r="D300" s="7" t="str">
        <f>VLOOKUP(A300,Combined!$A$1:$C$501,3,FALSE)</f>
        <v>C009</v>
      </c>
      <c r="E300" t="str">
        <f>VLOOKUP(D300,Combined!$C$1:$H$501,6,FALSE)</f>
        <v>Marketing</v>
      </c>
      <c r="F300">
        <f>VLOOKUP(D300,Combined!$C$1:$J$501,8,FALSE)</f>
        <v>3</v>
      </c>
      <c r="N300" t="s">
        <v>433</v>
      </c>
      <c r="O300">
        <v>4</v>
      </c>
    </row>
    <row r="301" spans="1:15">
      <c r="A301" s="9" t="s">
        <v>565</v>
      </c>
      <c r="B301" s="7" t="str">
        <f>VLOOKUP(A301,Combined!$A$1:$C$501,2,FALSE)</f>
        <v>S058</v>
      </c>
      <c r="C301" s="7" t="s">
        <v>6</v>
      </c>
      <c r="D301" s="7" t="str">
        <f>VLOOKUP(A301,Combined!$A$1:$C$501,3,FALSE)</f>
        <v>C010</v>
      </c>
      <c r="E301" t="str">
        <f>VLOOKUP(D301,Combined!$C$1:$H$501,6,FALSE)</f>
        <v>Finance</v>
      </c>
      <c r="F301">
        <f>VLOOKUP(D301,Combined!$C$1:$J$501,8,FALSE)</f>
        <v>4</v>
      </c>
      <c r="N301" t="s">
        <v>470</v>
      </c>
      <c r="O301">
        <v>3</v>
      </c>
    </row>
    <row r="302" spans="1:15">
      <c r="A302" s="8" t="s">
        <v>234</v>
      </c>
      <c r="B302" s="7" t="str">
        <f>VLOOKUP(A302,Combined!$A$1:$C$501,2,FALSE)</f>
        <v>S059</v>
      </c>
      <c r="C302" s="7" t="s">
        <v>67</v>
      </c>
      <c r="D302" s="7" t="str">
        <f>VLOOKUP(A302,Combined!$A$1:$C$501,3,FALSE)</f>
        <v>C007</v>
      </c>
      <c r="E302" t="str">
        <f>VLOOKUP(D302,Combined!$C$1:$H$501,6,FALSE)</f>
        <v>Digital Logic</v>
      </c>
      <c r="F302">
        <f>VLOOKUP(D302,Combined!$C$1:$J$501,8,FALSE)</f>
        <v>3</v>
      </c>
      <c r="M302" t="s">
        <v>76</v>
      </c>
      <c r="O302">
        <v>18</v>
      </c>
    </row>
    <row r="303" spans="1:15">
      <c r="A303" s="8" t="s">
        <v>358</v>
      </c>
      <c r="B303" s="7" t="str">
        <f>VLOOKUP(A303,Combined!$A$1:$C$501,2,FALSE)</f>
        <v>S059</v>
      </c>
      <c r="C303" s="7" t="s">
        <v>67</v>
      </c>
      <c r="D303" s="7" t="str">
        <f>VLOOKUP(A303,Combined!$A$1:$C$501,3,FALSE)</f>
        <v>C006</v>
      </c>
      <c r="E303" t="str">
        <f>VLOOKUP(D303,Combined!$C$1:$H$501,6,FALSE)</f>
        <v>Fluid Mechanics</v>
      </c>
      <c r="F303">
        <f>VLOOKUP(D303,Combined!$C$1:$J$501,8,FALSE)</f>
        <v>4</v>
      </c>
      <c r="N303" t="s">
        <v>218</v>
      </c>
      <c r="O303">
        <v>4</v>
      </c>
    </row>
    <row r="304" spans="1:15">
      <c r="A304" s="8" t="s">
        <v>400</v>
      </c>
      <c r="B304" s="7" t="str">
        <f>VLOOKUP(A304,Combined!$A$1:$C$501,2,FALSE)</f>
        <v>S059</v>
      </c>
      <c r="C304" s="7" t="s">
        <v>67</v>
      </c>
      <c r="D304" s="7" t="str">
        <f>VLOOKUP(A304,Combined!$A$1:$C$501,3,FALSE)</f>
        <v>C006</v>
      </c>
      <c r="E304" t="str">
        <f>VLOOKUP(D304,Combined!$C$1:$H$501,6,FALSE)</f>
        <v>Fluid Mechanics</v>
      </c>
      <c r="F304">
        <f>VLOOKUP(D304,Combined!$C$1:$J$501,8,FALSE)</f>
        <v>4</v>
      </c>
      <c r="N304" t="s">
        <v>352</v>
      </c>
      <c r="O304">
        <v>4</v>
      </c>
    </row>
    <row r="305" spans="1:15">
      <c r="A305" s="8" t="s">
        <v>434</v>
      </c>
      <c r="B305" s="7" t="str">
        <f>VLOOKUP(A305,Combined!$A$1:$C$501,2,FALSE)</f>
        <v>S059</v>
      </c>
      <c r="C305" s="7" t="s">
        <v>67</v>
      </c>
      <c r="D305" s="7" t="str">
        <f>VLOOKUP(A305,Combined!$A$1:$C$501,3,FALSE)</f>
        <v>C009</v>
      </c>
      <c r="E305" t="str">
        <f>VLOOKUP(D305,Combined!$C$1:$H$501,6,FALSE)</f>
        <v>Marketing</v>
      </c>
      <c r="F305">
        <f>VLOOKUP(D305,Combined!$C$1:$J$501,8,FALSE)</f>
        <v>3</v>
      </c>
      <c r="N305" t="s">
        <v>361</v>
      </c>
      <c r="O305">
        <v>3</v>
      </c>
    </row>
    <row r="306" spans="1:15">
      <c r="A306" s="9" t="s">
        <v>607</v>
      </c>
      <c r="B306" s="7" t="str">
        <f>VLOOKUP(A306,Combined!$A$1:$C$501,2,FALSE)</f>
        <v>S059</v>
      </c>
      <c r="C306" s="7" t="s">
        <v>67</v>
      </c>
      <c r="D306" s="7" t="str">
        <f>VLOOKUP(A306,Combined!$A$1:$C$501,3,FALSE)</f>
        <v>C002</v>
      </c>
      <c r="E306" t="str">
        <f>VLOOKUP(D306,Combined!$C$1:$H$501,6,FALSE)</f>
        <v>DBMS</v>
      </c>
      <c r="F306">
        <f>VLOOKUP(D306,Combined!$C$1:$J$501,8,FALSE)</f>
        <v>4</v>
      </c>
      <c r="N306" t="s">
        <v>545</v>
      </c>
      <c r="O306">
        <v>4</v>
      </c>
    </row>
    <row r="307" spans="1:15">
      <c r="A307" s="9" t="s">
        <v>699</v>
      </c>
      <c r="B307" s="7" t="str">
        <f>VLOOKUP(A307,Combined!$A$1:$C$501,2,FALSE)</f>
        <v>S059</v>
      </c>
      <c r="C307" s="7" t="s">
        <v>67</v>
      </c>
      <c r="D307" s="7" t="str">
        <f>VLOOKUP(A307,Combined!$A$1:$C$501,3,FALSE)</f>
        <v>C003</v>
      </c>
      <c r="E307" t="str">
        <f>VLOOKUP(D307,Combined!$C$1:$H$501,6,FALSE)</f>
        <v>Thermodynamics</v>
      </c>
      <c r="F307">
        <f>VLOOKUP(D307,Combined!$C$1:$J$501,8,FALSE)</f>
        <v>3</v>
      </c>
      <c r="N307" t="s">
        <v>627</v>
      </c>
      <c r="O307">
        <v>3</v>
      </c>
    </row>
    <row r="308" spans="1:15">
      <c r="A308" s="8" t="s">
        <v>700</v>
      </c>
      <c r="B308" s="7" t="str">
        <f>VLOOKUP(A308,Combined!$A$1:$C$501,2,FALSE)</f>
        <v>S059</v>
      </c>
      <c r="C308" s="7" t="s">
        <v>67</v>
      </c>
      <c r="D308" s="7" t="str">
        <f>VLOOKUP(A308,Combined!$A$1:$C$501,3,FALSE)</f>
        <v>C010</v>
      </c>
      <c r="E308" t="str">
        <f>VLOOKUP(D308,Combined!$C$1:$H$501,6,FALSE)</f>
        <v>Finance</v>
      </c>
      <c r="F308">
        <f>VLOOKUP(D308,Combined!$C$1:$J$501,8,FALSE)</f>
        <v>4</v>
      </c>
      <c r="M308" t="s">
        <v>77</v>
      </c>
      <c r="O308">
        <v>15</v>
      </c>
    </row>
    <row r="309" spans="1:15">
      <c r="A309" s="8" t="s">
        <v>228</v>
      </c>
      <c r="B309" s="7" t="str">
        <f>VLOOKUP(A309,Combined!$A$1:$C$501,2,FALSE)</f>
        <v>S060</v>
      </c>
      <c r="C309" s="7" t="s">
        <v>10</v>
      </c>
      <c r="D309" s="7" t="str">
        <f>VLOOKUP(A309,Combined!$A$1:$C$501,3,FALSE)</f>
        <v>C008</v>
      </c>
      <c r="E309" t="str">
        <f>VLOOKUP(D309,Combined!$C$1:$H$501,6,FALSE)</f>
        <v>Structural Analysis</v>
      </c>
      <c r="F309">
        <f>VLOOKUP(D309,Combined!$C$1:$J$501,8,FALSE)</f>
        <v>4</v>
      </c>
      <c r="N309" t="s">
        <v>259</v>
      </c>
      <c r="O309">
        <v>4</v>
      </c>
    </row>
    <row r="310" spans="1:15">
      <c r="A310" s="9" t="s">
        <v>493</v>
      </c>
      <c r="B310" s="7" t="str">
        <f>VLOOKUP(A310,Combined!$A$1:$C$501,2,FALSE)</f>
        <v>S060</v>
      </c>
      <c r="C310" s="7" t="s">
        <v>10</v>
      </c>
      <c r="D310" s="7" t="str">
        <f>VLOOKUP(A310,Combined!$A$1:$C$501,3,FALSE)</f>
        <v>C010</v>
      </c>
      <c r="E310" t="str">
        <f>VLOOKUP(D310,Combined!$C$1:$H$501,6,FALSE)</f>
        <v>Finance</v>
      </c>
      <c r="F310">
        <f>VLOOKUP(D310,Combined!$C$1:$J$501,8,FALSE)</f>
        <v>4</v>
      </c>
      <c r="N310" t="s">
        <v>273</v>
      </c>
      <c r="O310">
        <v>4</v>
      </c>
    </row>
    <row r="311" spans="1:15">
      <c r="A311" s="9" t="s">
        <v>521</v>
      </c>
      <c r="B311" s="7" t="str">
        <f>VLOOKUP(A311,Combined!$A$1:$C$501,2,FALSE)</f>
        <v>S060</v>
      </c>
      <c r="C311" s="7" t="s">
        <v>10</v>
      </c>
      <c r="D311" s="7" t="str">
        <f>VLOOKUP(A311,Combined!$A$1:$C$501,3,FALSE)</f>
        <v>C005</v>
      </c>
      <c r="E311" t="str">
        <f>VLOOKUP(D311,Combined!$C$1:$H$501,6,FALSE)</f>
        <v>AI &amp; ML</v>
      </c>
      <c r="F311">
        <f>VLOOKUP(D311,Combined!$C$1:$J$501,8,FALSE)</f>
        <v>3</v>
      </c>
      <c r="N311" t="s">
        <v>479</v>
      </c>
      <c r="O311">
        <v>3</v>
      </c>
    </row>
    <row r="312" spans="1:15">
      <c r="A312" s="8" t="s">
        <v>588</v>
      </c>
      <c r="B312" s="7" t="str">
        <f>VLOOKUP(A312,Combined!$A$1:$C$501,2,FALSE)</f>
        <v>S060</v>
      </c>
      <c r="C312" s="7" t="s">
        <v>10</v>
      </c>
      <c r="D312" s="7" t="str">
        <f>VLOOKUP(A312,Combined!$A$1:$C$501,3,FALSE)</f>
        <v>C009</v>
      </c>
      <c r="E312" t="str">
        <f>VLOOKUP(D312,Combined!$C$1:$H$501,6,FALSE)</f>
        <v>Marketing</v>
      </c>
      <c r="F312">
        <f>VLOOKUP(D312,Combined!$C$1:$J$501,8,FALSE)</f>
        <v>3</v>
      </c>
      <c r="N312" t="s">
        <v>657</v>
      </c>
      <c r="O312">
        <v>4</v>
      </c>
    </row>
    <row r="313" spans="1:15">
      <c r="A313" s="8" t="s">
        <v>592</v>
      </c>
      <c r="B313" s="7" t="str">
        <f>VLOOKUP(A313,Combined!$A$1:$C$501,2,FALSE)</f>
        <v>S060</v>
      </c>
      <c r="C313" s="7" t="s">
        <v>10</v>
      </c>
      <c r="D313" s="7" t="str">
        <f>VLOOKUP(A313,Combined!$A$1:$C$501,3,FALSE)</f>
        <v>C009</v>
      </c>
      <c r="E313" t="str">
        <f>VLOOKUP(D313,Combined!$C$1:$H$501,6,FALSE)</f>
        <v>Marketing</v>
      </c>
      <c r="F313">
        <f>VLOOKUP(D313,Combined!$C$1:$J$501,8,FALSE)</f>
        <v>3</v>
      </c>
      <c r="M313" t="s">
        <v>78</v>
      </c>
      <c r="O313">
        <v>9</v>
      </c>
    </row>
    <row r="314" spans="1:15">
      <c r="A314" s="9" t="s">
        <v>205</v>
      </c>
      <c r="B314" s="7" t="str">
        <f>VLOOKUP(A314,Combined!$A$1:$C$501,2,FALSE)</f>
        <v>S061</v>
      </c>
      <c r="C314" s="7" t="s">
        <v>20</v>
      </c>
      <c r="D314" s="7" t="str">
        <f>VLOOKUP(A314,Combined!$A$1:$C$501,3,FALSE)</f>
        <v>C004</v>
      </c>
      <c r="E314" t="str">
        <f>VLOOKUP(D314,Combined!$C$1:$H$501,6,FALSE)</f>
        <v>Circuits</v>
      </c>
      <c r="F314">
        <f>VLOOKUP(D314,Combined!$C$1:$J$501,8,FALSE)</f>
        <v>4</v>
      </c>
      <c r="N314" t="s">
        <v>223</v>
      </c>
      <c r="O314">
        <v>3</v>
      </c>
    </row>
    <row r="315" spans="1:15">
      <c r="A315" s="9" t="s">
        <v>351</v>
      </c>
      <c r="B315" s="7" t="str">
        <f>VLOOKUP(A315,Combined!$A$1:$C$501,2,FALSE)</f>
        <v>S061</v>
      </c>
      <c r="C315" s="7" t="s">
        <v>20</v>
      </c>
      <c r="D315" s="7" t="str">
        <f>VLOOKUP(A315,Combined!$A$1:$C$501,3,FALSE)</f>
        <v>C004</v>
      </c>
      <c r="E315" t="str">
        <f>VLOOKUP(D315,Combined!$C$1:$H$501,6,FALSE)</f>
        <v>Circuits</v>
      </c>
      <c r="F315">
        <f>VLOOKUP(D315,Combined!$C$1:$J$501,8,FALSE)</f>
        <v>4</v>
      </c>
      <c r="N315" t="s">
        <v>429</v>
      </c>
      <c r="O315">
        <v>3</v>
      </c>
    </row>
    <row r="316" spans="1:15">
      <c r="A316" s="8" t="s">
        <v>402</v>
      </c>
      <c r="B316" s="7" t="str">
        <f>VLOOKUP(A316,Combined!$A$1:$C$501,2,FALSE)</f>
        <v>S061</v>
      </c>
      <c r="C316" s="7" t="s">
        <v>20</v>
      </c>
      <c r="D316" s="7" t="str">
        <f>VLOOKUP(A316,Combined!$A$1:$C$501,3,FALSE)</f>
        <v>C001</v>
      </c>
      <c r="E316" t="str">
        <f>VLOOKUP(D316,Combined!$C$1:$H$501,6,FALSE)</f>
        <v>Data Structures</v>
      </c>
      <c r="F316">
        <f>VLOOKUP(D316,Combined!$C$1:$J$501,8,FALSE)</f>
        <v>3</v>
      </c>
      <c r="N316" t="s">
        <v>475</v>
      </c>
      <c r="O316">
        <v>3</v>
      </c>
    </row>
    <row r="317" spans="1:15">
      <c r="A317" s="8" t="s">
        <v>520</v>
      </c>
      <c r="B317" s="7" t="str">
        <f>VLOOKUP(A317,Combined!$A$1:$C$501,2,FALSE)</f>
        <v>S061</v>
      </c>
      <c r="C317" s="7" t="s">
        <v>20</v>
      </c>
      <c r="D317" s="7" t="str">
        <f>VLOOKUP(A317,Combined!$A$1:$C$501,3,FALSE)</f>
        <v>C004</v>
      </c>
      <c r="E317" t="str">
        <f>VLOOKUP(D317,Combined!$C$1:$H$501,6,FALSE)</f>
        <v>Circuits</v>
      </c>
      <c r="F317">
        <f>VLOOKUP(D317,Combined!$C$1:$J$501,8,FALSE)</f>
        <v>4</v>
      </c>
      <c r="M317" t="s">
        <v>79</v>
      </c>
      <c r="O317">
        <v>19</v>
      </c>
    </row>
    <row r="318" spans="1:15">
      <c r="A318" s="9" t="s">
        <v>633</v>
      </c>
      <c r="B318" s="7" t="str">
        <f>VLOOKUP(A318,Combined!$A$1:$C$501,2,FALSE)</f>
        <v>S061</v>
      </c>
      <c r="C318" s="7" t="s">
        <v>20</v>
      </c>
      <c r="D318" s="7" t="str">
        <f>VLOOKUP(A318,Combined!$A$1:$C$501,3,FALSE)</f>
        <v>C009</v>
      </c>
      <c r="E318" t="str">
        <f>VLOOKUP(D318,Combined!$C$1:$H$501,6,FALSE)</f>
        <v>Marketing</v>
      </c>
      <c r="F318">
        <f>VLOOKUP(D318,Combined!$C$1:$J$501,8,FALSE)</f>
        <v>3</v>
      </c>
      <c r="N318" t="s">
        <v>337</v>
      </c>
      <c r="O318">
        <v>4</v>
      </c>
    </row>
    <row r="319" spans="1:15">
      <c r="A319" s="8" t="s">
        <v>306</v>
      </c>
      <c r="B319" s="7" t="str">
        <f>VLOOKUP(A319,Combined!$A$1:$C$501,2,FALSE)</f>
        <v>S062</v>
      </c>
      <c r="C319" s="7" t="s">
        <v>10</v>
      </c>
      <c r="D319" s="7" t="str">
        <f>VLOOKUP(A319,Combined!$A$1:$C$501,3,FALSE)</f>
        <v>C008</v>
      </c>
      <c r="E319" t="str">
        <f>VLOOKUP(D319,Combined!$C$1:$H$501,6,FALSE)</f>
        <v>Structural Analysis</v>
      </c>
      <c r="F319">
        <f>VLOOKUP(D319,Combined!$C$1:$J$501,8,FALSE)</f>
        <v>4</v>
      </c>
      <c r="N319" t="s">
        <v>501</v>
      </c>
      <c r="O319">
        <v>4</v>
      </c>
    </row>
    <row r="320" spans="1:15">
      <c r="A320" s="8" t="s">
        <v>606</v>
      </c>
      <c r="B320" s="7" t="str">
        <f>VLOOKUP(A320,Combined!$A$1:$C$501,2,FALSE)</f>
        <v>S062</v>
      </c>
      <c r="C320" s="7" t="s">
        <v>10</v>
      </c>
      <c r="D320" s="7" t="str">
        <f>VLOOKUP(A320,Combined!$A$1:$C$501,3,FALSE)</f>
        <v>C004</v>
      </c>
      <c r="E320" t="str">
        <f>VLOOKUP(D320,Combined!$C$1:$H$501,6,FALSE)</f>
        <v>Circuits</v>
      </c>
      <c r="F320">
        <f>VLOOKUP(D320,Combined!$C$1:$J$501,8,FALSE)</f>
        <v>4</v>
      </c>
      <c r="N320" t="s">
        <v>647</v>
      </c>
      <c r="O320">
        <v>3</v>
      </c>
    </row>
    <row r="321" spans="1:15">
      <c r="A321" s="9" t="s">
        <v>681</v>
      </c>
      <c r="B321" s="7" t="str">
        <f>VLOOKUP(A321,Combined!$A$1:$C$501,2,FALSE)</f>
        <v>S062</v>
      </c>
      <c r="C321" s="7" t="s">
        <v>10</v>
      </c>
      <c r="D321" s="7" t="str">
        <f>VLOOKUP(A321,Combined!$A$1:$C$501,3,FALSE)</f>
        <v>C006</v>
      </c>
      <c r="E321" t="str">
        <f>VLOOKUP(D321,Combined!$C$1:$H$501,6,FALSE)</f>
        <v>Fluid Mechanics</v>
      </c>
      <c r="F321">
        <f>VLOOKUP(D321,Combined!$C$1:$J$501,8,FALSE)</f>
        <v>4</v>
      </c>
      <c r="N321" t="s">
        <v>664</v>
      </c>
      <c r="O321">
        <v>4</v>
      </c>
    </row>
    <row r="322" spans="1:15">
      <c r="A322" s="8" t="s">
        <v>690</v>
      </c>
      <c r="B322" s="7" t="str">
        <f>VLOOKUP(A322,Combined!$A$1:$C$501,2,FALSE)</f>
        <v>S062</v>
      </c>
      <c r="C322" s="7" t="s">
        <v>10</v>
      </c>
      <c r="D322" s="7" t="str">
        <f>VLOOKUP(A322,Combined!$A$1:$C$501,3,FALSE)</f>
        <v>C003</v>
      </c>
      <c r="E322" t="str">
        <f>VLOOKUP(D322,Combined!$C$1:$H$501,6,FALSE)</f>
        <v>Thermodynamics</v>
      </c>
      <c r="F322">
        <f>VLOOKUP(D322,Combined!$C$1:$J$501,8,FALSE)</f>
        <v>3</v>
      </c>
      <c r="N322" t="s">
        <v>666</v>
      </c>
      <c r="O322">
        <v>4</v>
      </c>
    </row>
    <row r="323" spans="1:15">
      <c r="A323" s="9" t="s">
        <v>255</v>
      </c>
      <c r="B323" s="7" t="str">
        <f>VLOOKUP(A323,Combined!$A$1:$C$501,2,FALSE)</f>
        <v>S063</v>
      </c>
      <c r="C323" s="7" t="s">
        <v>75</v>
      </c>
      <c r="D323" s="7" t="str">
        <f>VLOOKUP(A323,Combined!$A$1:$C$501,3,FALSE)</f>
        <v>C004</v>
      </c>
      <c r="E323" t="str">
        <f>VLOOKUP(D323,Combined!$C$1:$H$501,6,FALSE)</f>
        <v>Circuits</v>
      </c>
      <c r="F323">
        <f>VLOOKUP(D323,Combined!$C$1:$J$501,8,FALSE)</f>
        <v>4</v>
      </c>
      <c r="M323" t="s">
        <v>80</v>
      </c>
      <c r="O323">
        <v>24</v>
      </c>
    </row>
    <row r="324" spans="1:15">
      <c r="A324" s="8" t="s">
        <v>256</v>
      </c>
      <c r="B324" s="7" t="str">
        <f>VLOOKUP(A324,Combined!$A$1:$C$501,2,FALSE)</f>
        <v>S063</v>
      </c>
      <c r="C324" s="7" t="s">
        <v>75</v>
      </c>
      <c r="D324" s="7" t="str">
        <f>VLOOKUP(A324,Combined!$A$1:$C$501,3,FALSE)</f>
        <v>C001</v>
      </c>
      <c r="E324" t="str">
        <f>VLOOKUP(D324,Combined!$C$1:$H$501,6,FALSE)</f>
        <v>Data Structures</v>
      </c>
      <c r="F324">
        <f>VLOOKUP(D324,Combined!$C$1:$J$501,8,FALSE)</f>
        <v>3</v>
      </c>
      <c r="N324" t="s">
        <v>254</v>
      </c>
      <c r="O324">
        <v>3</v>
      </c>
    </row>
    <row r="325" spans="1:15">
      <c r="A325" s="8" t="s">
        <v>406</v>
      </c>
      <c r="B325" s="7" t="str">
        <f>VLOOKUP(A325,Combined!$A$1:$C$501,2,FALSE)</f>
        <v>S064</v>
      </c>
      <c r="C325" s="7" t="s">
        <v>47</v>
      </c>
      <c r="D325" s="7" t="str">
        <f>VLOOKUP(A325,Combined!$A$1:$C$501,3,FALSE)</f>
        <v>C002</v>
      </c>
      <c r="E325" t="str">
        <f>VLOOKUP(D325,Combined!$C$1:$H$501,6,FALSE)</f>
        <v>DBMS</v>
      </c>
      <c r="F325">
        <f>VLOOKUP(D325,Combined!$C$1:$J$501,8,FALSE)</f>
        <v>4</v>
      </c>
      <c r="N325" t="s">
        <v>409</v>
      </c>
      <c r="O325">
        <v>4</v>
      </c>
    </row>
    <row r="326" spans="1:15">
      <c r="A326" s="9" t="s">
        <v>605</v>
      </c>
      <c r="B326" s="7" t="str">
        <f>VLOOKUP(A326,Combined!$A$1:$C$501,2,FALSE)</f>
        <v>S064</v>
      </c>
      <c r="C326" s="7" t="s">
        <v>47</v>
      </c>
      <c r="D326" s="7" t="str">
        <f>VLOOKUP(A326,Combined!$A$1:$C$501,3,FALSE)</f>
        <v>C009</v>
      </c>
      <c r="E326" t="str">
        <f>VLOOKUP(D326,Combined!$C$1:$H$501,6,FALSE)</f>
        <v>Marketing</v>
      </c>
      <c r="F326">
        <f>VLOOKUP(D326,Combined!$C$1:$J$501,8,FALSE)</f>
        <v>3</v>
      </c>
      <c r="N326" t="s">
        <v>457</v>
      </c>
      <c r="O326">
        <v>4</v>
      </c>
    </row>
    <row r="327" spans="1:15">
      <c r="A327" s="8" t="s">
        <v>618</v>
      </c>
      <c r="B327" s="7" t="str">
        <f>VLOOKUP(A327,Combined!$A$1:$C$501,2,FALSE)</f>
        <v>S064</v>
      </c>
      <c r="C327" s="7" t="s">
        <v>47</v>
      </c>
      <c r="D327" s="7" t="str">
        <f>VLOOKUP(A327,Combined!$A$1:$C$501,3,FALSE)</f>
        <v>C005</v>
      </c>
      <c r="E327" t="str">
        <f>VLOOKUP(D327,Combined!$C$1:$H$501,6,FALSE)</f>
        <v>AI &amp; ML</v>
      </c>
      <c r="F327">
        <f>VLOOKUP(D327,Combined!$C$1:$J$501,8,FALSE)</f>
        <v>3</v>
      </c>
      <c r="N327" t="s">
        <v>462</v>
      </c>
      <c r="O327">
        <v>3</v>
      </c>
    </row>
    <row r="328" spans="1:15">
      <c r="A328" s="8" t="s">
        <v>222</v>
      </c>
      <c r="B328" s="7" t="str">
        <f>VLOOKUP(A328,Combined!$A$1:$C$501,2,FALSE)</f>
        <v>S065</v>
      </c>
      <c r="C328" s="7" t="s">
        <v>39</v>
      </c>
      <c r="D328" s="7" t="str">
        <f>VLOOKUP(A328,Combined!$A$1:$C$501,3,FALSE)</f>
        <v>C005</v>
      </c>
      <c r="E328" t="str">
        <f>VLOOKUP(D328,Combined!$C$1:$H$501,6,FALSE)</f>
        <v>AI &amp; ML</v>
      </c>
      <c r="F328">
        <f>VLOOKUP(D328,Combined!$C$1:$J$501,8,FALSE)</f>
        <v>3</v>
      </c>
      <c r="N328" t="s">
        <v>640</v>
      </c>
      <c r="O328">
        <v>4</v>
      </c>
    </row>
    <row r="329" spans="1:15">
      <c r="A329" s="8" t="s">
        <v>354</v>
      </c>
      <c r="B329" s="7" t="str">
        <f>VLOOKUP(A329,Combined!$A$1:$C$501,2,FALSE)</f>
        <v>S065</v>
      </c>
      <c r="C329" s="7" t="s">
        <v>39</v>
      </c>
      <c r="D329" s="7" t="str">
        <f>VLOOKUP(A329,Combined!$A$1:$C$501,3,FALSE)</f>
        <v>C005</v>
      </c>
      <c r="E329" t="str">
        <f>VLOOKUP(D329,Combined!$C$1:$H$501,6,FALSE)</f>
        <v>AI &amp; ML</v>
      </c>
      <c r="F329">
        <f>VLOOKUP(D329,Combined!$C$1:$J$501,8,FALSE)</f>
        <v>3</v>
      </c>
      <c r="N329" t="s">
        <v>646</v>
      </c>
      <c r="O329">
        <v>3</v>
      </c>
    </row>
    <row r="330" spans="1:15">
      <c r="A330" s="8" t="s">
        <v>490</v>
      </c>
      <c r="B330" s="7" t="str">
        <f>VLOOKUP(A330,Combined!$A$1:$C$501,2,FALSE)</f>
        <v>S065</v>
      </c>
      <c r="C330" s="7" t="s">
        <v>39</v>
      </c>
      <c r="D330" s="7" t="str">
        <f>VLOOKUP(A330,Combined!$A$1:$C$501,3,FALSE)</f>
        <v>C002</v>
      </c>
      <c r="E330" t="str">
        <f>VLOOKUP(D330,Combined!$C$1:$H$501,6,FALSE)</f>
        <v>DBMS</v>
      </c>
      <c r="F330">
        <f>VLOOKUP(D330,Combined!$C$1:$J$501,8,FALSE)</f>
        <v>4</v>
      </c>
      <c r="N330" t="s">
        <v>691</v>
      </c>
      <c r="O330">
        <v>3</v>
      </c>
    </row>
    <row r="331" spans="1:15">
      <c r="A331" s="9" t="s">
        <v>529</v>
      </c>
      <c r="B331" s="7" t="str">
        <f>VLOOKUP(A331,Combined!$A$1:$C$501,2,FALSE)</f>
        <v>S065</v>
      </c>
      <c r="C331" s="7" t="s">
        <v>39</v>
      </c>
      <c r="D331" s="7" t="str">
        <f>VLOOKUP(A331,Combined!$A$1:$C$501,3,FALSE)</f>
        <v>C006</v>
      </c>
      <c r="E331" t="str">
        <f>VLOOKUP(D331,Combined!$C$1:$H$501,6,FALSE)</f>
        <v>Fluid Mechanics</v>
      </c>
      <c r="F331">
        <f>VLOOKUP(D331,Combined!$C$1:$J$501,8,FALSE)</f>
        <v>4</v>
      </c>
      <c r="M331" t="s">
        <v>81</v>
      </c>
      <c r="O331">
        <v>7</v>
      </c>
    </row>
    <row r="332" spans="1:15">
      <c r="A332" s="8" t="s">
        <v>600</v>
      </c>
      <c r="B332" s="7" t="str">
        <f>VLOOKUP(A332,Combined!$A$1:$C$501,2,FALSE)</f>
        <v>S065</v>
      </c>
      <c r="C332" s="7" t="s">
        <v>39</v>
      </c>
      <c r="D332" s="7" t="str">
        <f>VLOOKUP(A332,Combined!$A$1:$C$501,3,FALSE)</f>
        <v>C003</v>
      </c>
      <c r="E332" t="str">
        <f>VLOOKUP(D332,Combined!$C$1:$H$501,6,FALSE)</f>
        <v>Thermodynamics</v>
      </c>
      <c r="F332">
        <f>VLOOKUP(D332,Combined!$C$1:$J$501,8,FALSE)</f>
        <v>3</v>
      </c>
      <c r="N332" t="s">
        <v>322</v>
      </c>
      <c r="O332">
        <v>4</v>
      </c>
    </row>
    <row r="333" spans="1:15">
      <c r="A333" s="9" t="s">
        <v>637</v>
      </c>
      <c r="B333" s="7" t="str">
        <f>VLOOKUP(A333,Combined!$A$1:$C$501,2,FALSE)</f>
        <v>S065</v>
      </c>
      <c r="C333" s="7" t="s">
        <v>39</v>
      </c>
      <c r="D333" s="7" t="str">
        <f>VLOOKUP(A333,Combined!$A$1:$C$501,3,FALSE)</f>
        <v>C009</v>
      </c>
      <c r="E333" t="str">
        <f>VLOOKUP(D333,Combined!$C$1:$H$501,6,FALSE)</f>
        <v>Marketing</v>
      </c>
      <c r="F333">
        <f>VLOOKUP(D333,Combined!$C$1:$J$501,8,FALSE)</f>
        <v>3</v>
      </c>
      <c r="N333" t="s">
        <v>451</v>
      </c>
      <c r="O333">
        <v>3</v>
      </c>
    </row>
    <row r="334" spans="1:15">
      <c r="A334" s="9" t="s">
        <v>229</v>
      </c>
      <c r="B334" s="7" t="str">
        <f>VLOOKUP(A334,Combined!$A$1:$C$501,2,FALSE)</f>
        <v>S066</v>
      </c>
      <c r="C334" s="7" t="s">
        <v>47</v>
      </c>
      <c r="D334" s="7" t="str">
        <f>VLOOKUP(A334,Combined!$A$1:$C$501,3,FALSE)</f>
        <v>C008</v>
      </c>
      <c r="E334" t="str">
        <f>VLOOKUP(D334,Combined!$C$1:$H$501,6,FALSE)</f>
        <v>Structural Analysis</v>
      </c>
      <c r="F334">
        <f>VLOOKUP(D334,Combined!$C$1:$J$501,8,FALSE)</f>
        <v>4</v>
      </c>
      <c r="M334" t="s">
        <v>82</v>
      </c>
      <c r="O334">
        <v>27</v>
      </c>
    </row>
    <row r="335" spans="1:15">
      <c r="A335" s="8" t="s">
        <v>350</v>
      </c>
      <c r="B335" s="7" t="str">
        <f>VLOOKUP(A335,Combined!$A$1:$C$501,2,FALSE)</f>
        <v>S066</v>
      </c>
      <c r="C335" s="7" t="s">
        <v>47</v>
      </c>
      <c r="D335" s="7" t="str">
        <f>VLOOKUP(A335,Combined!$A$1:$C$501,3,FALSE)</f>
        <v>C005</v>
      </c>
      <c r="E335" t="str">
        <f>VLOOKUP(D335,Combined!$C$1:$H$501,6,FALSE)</f>
        <v>AI &amp; ML</v>
      </c>
      <c r="F335">
        <f>VLOOKUP(D335,Combined!$C$1:$J$501,8,FALSE)</f>
        <v>3</v>
      </c>
      <c r="N335" t="s">
        <v>217</v>
      </c>
      <c r="O335">
        <v>4</v>
      </c>
    </row>
    <row r="336" spans="1:15">
      <c r="A336" s="9" t="s">
        <v>509</v>
      </c>
      <c r="B336" s="7" t="str">
        <f>VLOOKUP(A336,Combined!$A$1:$C$501,2,FALSE)</f>
        <v>S066</v>
      </c>
      <c r="C336" s="7" t="s">
        <v>47</v>
      </c>
      <c r="D336" s="7" t="str">
        <f>VLOOKUP(A336,Combined!$A$1:$C$501,3,FALSE)</f>
        <v>C006</v>
      </c>
      <c r="E336" t="str">
        <f>VLOOKUP(D336,Combined!$C$1:$H$501,6,FALSE)</f>
        <v>Fluid Mechanics</v>
      </c>
      <c r="F336">
        <f>VLOOKUP(D336,Combined!$C$1:$J$501,8,FALSE)</f>
        <v>4</v>
      </c>
      <c r="N336" t="s">
        <v>278</v>
      </c>
      <c r="O336">
        <v>4</v>
      </c>
    </row>
    <row r="337" spans="1:15">
      <c r="A337" s="9" t="s">
        <v>585</v>
      </c>
      <c r="B337" s="7" t="str">
        <f>VLOOKUP(A337,Combined!$A$1:$C$501,2,FALSE)</f>
        <v>S066</v>
      </c>
      <c r="C337" s="7" t="s">
        <v>47</v>
      </c>
      <c r="D337" s="7" t="str">
        <f>VLOOKUP(A337,Combined!$A$1:$C$501,3,FALSE)</f>
        <v>C004</v>
      </c>
      <c r="E337" t="str">
        <f>VLOOKUP(D337,Combined!$C$1:$H$501,6,FALSE)</f>
        <v>Circuits</v>
      </c>
      <c r="F337">
        <f>VLOOKUP(D337,Combined!$C$1:$J$501,8,FALSE)</f>
        <v>4</v>
      </c>
      <c r="N337" t="s">
        <v>279</v>
      </c>
      <c r="O337">
        <v>3</v>
      </c>
    </row>
    <row r="338" spans="1:15">
      <c r="A338" s="9" t="s">
        <v>679</v>
      </c>
      <c r="B338" s="7" t="str">
        <f>VLOOKUP(A338,Combined!$A$1:$C$501,2,FALSE)</f>
        <v>S066</v>
      </c>
      <c r="C338" s="7" t="s">
        <v>47</v>
      </c>
      <c r="D338" s="7" t="str">
        <f>VLOOKUP(A338,Combined!$A$1:$C$501,3,FALSE)</f>
        <v>C006</v>
      </c>
      <c r="E338" t="str">
        <f>VLOOKUP(D338,Combined!$C$1:$H$501,6,FALSE)</f>
        <v>Fluid Mechanics</v>
      </c>
      <c r="F338">
        <f>VLOOKUP(D338,Combined!$C$1:$J$501,8,FALSE)</f>
        <v>4</v>
      </c>
      <c r="N338" t="s">
        <v>281</v>
      </c>
      <c r="O338">
        <v>4</v>
      </c>
    </row>
    <row r="339" spans="1:15">
      <c r="A339" s="9" t="s">
        <v>561</v>
      </c>
      <c r="B339" s="7" t="str">
        <f>VLOOKUP(A339,Combined!$A$1:$C$501,2,FALSE)</f>
        <v>S067</v>
      </c>
      <c r="C339" s="7" t="s">
        <v>14</v>
      </c>
      <c r="D339" s="7" t="str">
        <f>VLOOKUP(A339,Combined!$A$1:$C$501,3,FALSE)</f>
        <v>C005</v>
      </c>
      <c r="E339" t="str">
        <f>VLOOKUP(D339,Combined!$C$1:$H$501,6,FALSE)</f>
        <v>AI &amp; ML</v>
      </c>
      <c r="F339">
        <f>VLOOKUP(D339,Combined!$C$1:$J$501,8,FALSE)</f>
        <v>3</v>
      </c>
      <c r="N339" t="s">
        <v>329</v>
      </c>
      <c r="O339">
        <v>4</v>
      </c>
    </row>
    <row r="340" spans="1:15">
      <c r="A340" s="9" t="s">
        <v>375</v>
      </c>
      <c r="B340" s="7" t="str">
        <f>VLOOKUP(A340,Combined!$A$1:$C$501,2,FALSE)</f>
        <v>S068</v>
      </c>
      <c r="C340" s="7" t="s">
        <v>22</v>
      </c>
      <c r="D340" s="7" t="str">
        <f>VLOOKUP(A340,Combined!$A$1:$C$501,3,FALSE)</f>
        <v>C007</v>
      </c>
      <c r="E340" t="str">
        <f>VLOOKUP(D340,Combined!$C$1:$H$501,6,FALSE)</f>
        <v>Digital Logic</v>
      </c>
      <c r="F340">
        <f>VLOOKUP(D340,Combined!$C$1:$J$501,8,FALSE)</f>
        <v>3</v>
      </c>
      <c r="N340" t="s">
        <v>436</v>
      </c>
      <c r="O340">
        <v>4</v>
      </c>
    </row>
    <row r="341" spans="1:15">
      <c r="A341" s="9" t="s">
        <v>481</v>
      </c>
      <c r="B341" s="7" t="str">
        <f>VLOOKUP(A341,Combined!$A$1:$C$501,2,FALSE)</f>
        <v>S068</v>
      </c>
      <c r="C341" s="7" t="s">
        <v>22</v>
      </c>
      <c r="D341" s="7" t="str">
        <f>VLOOKUP(A341,Combined!$A$1:$C$501,3,FALSE)</f>
        <v>C009</v>
      </c>
      <c r="E341" t="str">
        <f>VLOOKUP(D341,Combined!$C$1:$H$501,6,FALSE)</f>
        <v>Marketing</v>
      </c>
      <c r="F341">
        <f>VLOOKUP(D341,Combined!$C$1:$J$501,8,FALSE)</f>
        <v>3</v>
      </c>
      <c r="N341" t="s">
        <v>477</v>
      </c>
      <c r="O341">
        <v>4</v>
      </c>
    </row>
    <row r="342" spans="1:15">
      <c r="A342" s="9" t="s">
        <v>499</v>
      </c>
      <c r="B342" s="7" t="str">
        <f>VLOOKUP(A342,Combined!$A$1:$C$501,2,FALSE)</f>
        <v>S068</v>
      </c>
      <c r="C342" s="7" t="s">
        <v>22</v>
      </c>
      <c r="D342" s="7" t="str">
        <f>VLOOKUP(A342,Combined!$A$1:$C$501,3,FALSE)</f>
        <v>C009</v>
      </c>
      <c r="E342" t="str">
        <f>VLOOKUP(D342,Combined!$C$1:$H$501,6,FALSE)</f>
        <v>Marketing</v>
      </c>
      <c r="F342">
        <f>VLOOKUP(D342,Combined!$C$1:$J$501,8,FALSE)</f>
        <v>3</v>
      </c>
      <c r="M342" t="s">
        <v>83</v>
      </c>
      <c r="O342">
        <v>25</v>
      </c>
    </row>
    <row r="343" spans="1:15">
      <c r="A343" s="8" t="s">
        <v>544</v>
      </c>
      <c r="B343" s="7" t="str">
        <f>VLOOKUP(A343,Combined!$A$1:$C$501,2,FALSE)</f>
        <v>S068</v>
      </c>
      <c r="C343" s="7" t="s">
        <v>22</v>
      </c>
      <c r="D343" s="7" t="str">
        <f>VLOOKUP(A343,Combined!$A$1:$C$501,3,FALSE)</f>
        <v>C006</v>
      </c>
      <c r="E343" t="str">
        <f>VLOOKUP(D343,Combined!$C$1:$H$501,6,FALSE)</f>
        <v>Fluid Mechanics</v>
      </c>
      <c r="F343">
        <f>VLOOKUP(D343,Combined!$C$1:$J$501,8,FALSE)</f>
        <v>4</v>
      </c>
      <c r="N343" t="s">
        <v>313</v>
      </c>
      <c r="O343">
        <v>3</v>
      </c>
    </row>
    <row r="344" spans="1:15">
      <c r="A344" s="9" t="s">
        <v>575</v>
      </c>
      <c r="B344" s="7" t="str">
        <f>VLOOKUP(A344,Combined!$A$1:$C$501,2,FALSE)</f>
        <v>S068</v>
      </c>
      <c r="C344" s="7" t="s">
        <v>22</v>
      </c>
      <c r="D344" s="7" t="str">
        <f>VLOOKUP(A344,Combined!$A$1:$C$501,3,FALSE)</f>
        <v>C006</v>
      </c>
      <c r="E344" t="str">
        <f>VLOOKUP(D344,Combined!$C$1:$H$501,6,FALSE)</f>
        <v>Fluid Mechanics</v>
      </c>
      <c r="F344">
        <f>VLOOKUP(D344,Combined!$C$1:$J$501,8,FALSE)</f>
        <v>4</v>
      </c>
      <c r="N344" t="s">
        <v>328</v>
      </c>
      <c r="O344">
        <v>4</v>
      </c>
    </row>
    <row r="345" spans="1:15">
      <c r="A345" s="8" t="s">
        <v>590</v>
      </c>
      <c r="B345" s="7" t="str">
        <f>VLOOKUP(A345,Combined!$A$1:$C$501,2,FALSE)</f>
        <v>S068</v>
      </c>
      <c r="C345" s="7" t="s">
        <v>22</v>
      </c>
      <c r="D345" s="7" t="str">
        <f>VLOOKUP(A345,Combined!$A$1:$C$501,3,FALSE)</f>
        <v>C007</v>
      </c>
      <c r="E345" t="str">
        <f>VLOOKUP(D345,Combined!$C$1:$H$501,6,FALSE)</f>
        <v>Digital Logic</v>
      </c>
      <c r="F345">
        <f>VLOOKUP(D345,Combined!$C$1:$J$501,8,FALSE)</f>
        <v>3</v>
      </c>
      <c r="N345" t="s">
        <v>381</v>
      </c>
      <c r="O345">
        <v>4</v>
      </c>
    </row>
    <row r="346" spans="1:15">
      <c r="A346" s="9" t="s">
        <v>693</v>
      </c>
      <c r="B346" s="7" t="str">
        <f>VLOOKUP(A346,Combined!$A$1:$C$501,2,FALSE)</f>
        <v>S068</v>
      </c>
      <c r="C346" s="7" t="s">
        <v>22</v>
      </c>
      <c r="D346" s="7" t="str">
        <f>VLOOKUP(A346,Combined!$A$1:$C$501,3,FALSE)</f>
        <v>C008</v>
      </c>
      <c r="E346" t="str">
        <f>VLOOKUP(D346,Combined!$C$1:$H$501,6,FALSE)</f>
        <v>Structural Analysis</v>
      </c>
      <c r="F346">
        <f>VLOOKUP(D346,Combined!$C$1:$J$501,8,FALSE)</f>
        <v>4</v>
      </c>
      <c r="N346" t="s">
        <v>411</v>
      </c>
      <c r="O346">
        <v>4</v>
      </c>
    </row>
    <row r="347" spans="1:15">
      <c r="A347" s="9" t="s">
        <v>407</v>
      </c>
      <c r="B347" s="7" t="str">
        <f>VLOOKUP(A347,Combined!$A$1:$C$501,2,FALSE)</f>
        <v>S069</v>
      </c>
      <c r="C347" s="7" t="s">
        <v>10</v>
      </c>
      <c r="D347" s="7" t="str">
        <f>VLOOKUP(A347,Combined!$A$1:$C$501,3,FALSE)</f>
        <v>C003</v>
      </c>
      <c r="E347" t="str">
        <f>VLOOKUP(D347,Combined!$C$1:$H$501,6,FALSE)</f>
        <v>Thermodynamics</v>
      </c>
      <c r="F347">
        <f>VLOOKUP(D347,Combined!$C$1:$J$501,8,FALSE)</f>
        <v>3</v>
      </c>
      <c r="N347" t="s">
        <v>518</v>
      </c>
      <c r="O347">
        <v>4</v>
      </c>
    </row>
    <row r="348" spans="1:15">
      <c r="A348" s="9" t="s">
        <v>669</v>
      </c>
      <c r="B348" s="7" t="str">
        <f>VLOOKUP(A348,Combined!$A$1:$C$501,2,FALSE)</f>
        <v>S069</v>
      </c>
      <c r="C348" s="7" t="s">
        <v>10</v>
      </c>
      <c r="D348" s="7" t="str">
        <f>VLOOKUP(A348,Combined!$A$1:$C$501,3,FALSE)</f>
        <v>C001</v>
      </c>
      <c r="E348" t="str">
        <f>VLOOKUP(D348,Combined!$C$1:$H$501,6,FALSE)</f>
        <v>Data Structures</v>
      </c>
      <c r="F348">
        <f>VLOOKUP(D348,Combined!$C$1:$J$501,8,FALSE)</f>
        <v>3</v>
      </c>
      <c r="N348" t="s">
        <v>608</v>
      </c>
      <c r="O348">
        <v>3</v>
      </c>
    </row>
    <row r="349" spans="1:15">
      <c r="A349" s="9" t="s">
        <v>247</v>
      </c>
      <c r="B349" s="7" t="str">
        <f>VLOOKUP(A349,Combined!$A$1:$C$501,2,FALSE)</f>
        <v>S070</v>
      </c>
      <c r="C349" s="7" t="s">
        <v>31</v>
      </c>
      <c r="D349" s="7" t="str">
        <f>VLOOKUP(A349,Combined!$A$1:$C$501,3,FALSE)</f>
        <v>C002</v>
      </c>
      <c r="E349" t="str">
        <f>VLOOKUP(D349,Combined!$C$1:$H$501,6,FALSE)</f>
        <v>DBMS</v>
      </c>
      <c r="F349">
        <f>VLOOKUP(D349,Combined!$C$1:$J$501,8,FALSE)</f>
        <v>4</v>
      </c>
      <c r="N349" t="s">
        <v>659</v>
      </c>
      <c r="O349">
        <v>3</v>
      </c>
    </row>
    <row r="350" spans="1:15">
      <c r="A350" s="8" t="s">
        <v>250</v>
      </c>
      <c r="B350" s="7" t="str">
        <f>VLOOKUP(A350,Combined!$A$1:$C$501,2,FALSE)</f>
        <v>S070</v>
      </c>
      <c r="C350" s="7" t="s">
        <v>31</v>
      </c>
      <c r="D350" s="7" t="str">
        <f>VLOOKUP(A350,Combined!$A$1:$C$501,3,FALSE)</f>
        <v>C008</v>
      </c>
      <c r="E350" t="str">
        <f>VLOOKUP(D350,Combined!$C$1:$H$501,6,FALSE)</f>
        <v>Structural Analysis</v>
      </c>
      <c r="F350">
        <f>VLOOKUP(D350,Combined!$C$1:$J$501,8,FALSE)</f>
        <v>4</v>
      </c>
      <c r="M350" t="s">
        <v>84</v>
      </c>
      <c r="O350">
        <v>23</v>
      </c>
    </row>
    <row r="351" spans="1:15">
      <c r="A351" s="9" t="s">
        <v>555</v>
      </c>
      <c r="B351" s="7" t="str">
        <f>VLOOKUP(A351,Combined!$A$1:$C$501,2,FALSE)</f>
        <v>S070</v>
      </c>
      <c r="C351" s="7" t="s">
        <v>31</v>
      </c>
      <c r="D351" s="7" t="str">
        <f>VLOOKUP(A351,Combined!$A$1:$C$501,3,FALSE)</f>
        <v>C008</v>
      </c>
      <c r="E351" t="str">
        <f>VLOOKUP(D351,Combined!$C$1:$H$501,6,FALSE)</f>
        <v>Structural Analysis</v>
      </c>
      <c r="F351">
        <f>VLOOKUP(D351,Combined!$C$1:$J$501,8,FALSE)</f>
        <v>4</v>
      </c>
      <c r="N351" t="s">
        <v>243</v>
      </c>
      <c r="O351">
        <v>3</v>
      </c>
    </row>
    <row r="352" spans="1:15">
      <c r="A352" s="9" t="s">
        <v>563</v>
      </c>
      <c r="B352" s="7" t="str">
        <f>VLOOKUP(A352,Combined!$A$1:$C$501,2,FALSE)</f>
        <v>S070</v>
      </c>
      <c r="C352" s="7" t="s">
        <v>31</v>
      </c>
      <c r="D352" s="7" t="str">
        <f>VLOOKUP(A352,Combined!$A$1:$C$501,3,FALSE)</f>
        <v>C005</v>
      </c>
      <c r="E352" t="str">
        <f>VLOOKUP(D352,Combined!$C$1:$H$501,6,FALSE)</f>
        <v>AI &amp; ML</v>
      </c>
      <c r="F352">
        <f>VLOOKUP(D352,Combined!$C$1:$J$501,8,FALSE)</f>
        <v>3</v>
      </c>
      <c r="N352" t="s">
        <v>290</v>
      </c>
      <c r="O352">
        <v>3</v>
      </c>
    </row>
    <row r="353" spans="1:15">
      <c r="A353" s="9" t="s">
        <v>651</v>
      </c>
      <c r="B353" s="7" t="str">
        <f>VLOOKUP(A353,Combined!$A$1:$C$501,2,FALSE)</f>
        <v>S070</v>
      </c>
      <c r="C353" s="7" t="s">
        <v>31</v>
      </c>
      <c r="D353" s="7" t="str">
        <f>VLOOKUP(A353,Combined!$A$1:$C$501,3,FALSE)</f>
        <v>C006</v>
      </c>
      <c r="E353" t="str">
        <f>VLOOKUP(D353,Combined!$C$1:$H$501,6,FALSE)</f>
        <v>Fluid Mechanics</v>
      </c>
      <c r="F353">
        <f>VLOOKUP(D353,Combined!$C$1:$J$501,8,FALSE)</f>
        <v>4</v>
      </c>
      <c r="N353" t="s">
        <v>426</v>
      </c>
      <c r="O353">
        <v>3</v>
      </c>
    </row>
    <row r="354" spans="1:15">
      <c r="A354" s="8" t="s">
        <v>704</v>
      </c>
      <c r="B354" s="7" t="str">
        <f>VLOOKUP(A354,Combined!$A$1:$C$501,2,FALSE)</f>
        <v>S070</v>
      </c>
      <c r="C354" s="7" t="s">
        <v>31</v>
      </c>
      <c r="D354" s="7" t="str">
        <f>VLOOKUP(A354,Combined!$A$1:$C$501,3,FALSE)</f>
        <v>C001</v>
      </c>
      <c r="E354" t="str">
        <f>VLOOKUP(D354,Combined!$C$1:$H$501,6,FALSE)</f>
        <v>Data Structures</v>
      </c>
      <c r="F354">
        <f>VLOOKUP(D354,Combined!$C$1:$J$501,8,FALSE)</f>
        <v>3</v>
      </c>
      <c r="N354" t="s">
        <v>491</v>
      </c>
      <c r="O354">
        <v>3</v>
      </c>
    </row>
    <row r="355" spans="1:15">
      <c r="A355" s="8" t="s">
        <v>226</v>
      </c>
      <c r="B355" s="7" t="str">
        <f>VLOOKUP(A355,Combined!$A$1:$C$501,2,FALSE)</f>
        <v>S071</v>
      </c>
      <c r="C355" s="7" t="s">
        <v>14</v>
      </c>
      <c r="D355" s="7" t="str">
        <f>VLOOKUP(A355,Combined!$A$1:$C$501,3,FALSE)</f>
        <v>C001</v>
      </c>
      <c r="E355" t="str">
        <f>VLOOKUP(D355,Combined!$C$1:$H$501,6,FALSE)</f>
        <v>Data Structures</v>
      </c>
      <c r="F355">
        <f>VLOOKUP(D355,Combined!$C$1:$J$501,8,FALSE)</f>
        <v>3</v>
      </c>
      <c r="N355" t="s">
        <v>494</v>
      </c>
      <c r="O355">
        <v>4</v>
      </c>
    </row>
    <row r="356" spans="1:15">
      <c r="A356" s="8" t="s">
        <v>242</v>
      </c>
      <c r="B356" s="7" t="str">
        <f>VLOOKUP(A356,Combined!$A$1:$C$501,2,FALSE)</f>
        <v>S071</v>
      </c>
      <c r="C356" s="7" t="s">
        <v>14</v>
      </c>
      <c r="D356" s="7" t="str">
        <f>VLOOKUP(A356,Combined!$A$1:$C$501,3,FALSE)</f>
        <v>C008</v>
      </c>
      <c r="E356" t="str">
        <f>VLOOKUP(D356,Combined!$C$1:$H$501,6,FALSE)</f>
        <v>Structural Analysis</v>
      </c>
      <c r="F356">
        <f>VLOOKUP(D356,Combined!$C$1:$J$501,8,FALSE)</f>
        <v>4</v>
      </c>
      <c r="N356" t="s">
        <v>526</v>
      </c>
      <c r="O356">
        <v>3</v>
      </c>
    </row>
    <row r="357" spans="1:15">
      <c r="A357" s="9" t="s">
        <v>293</v>
      </c>
      <c r="B357" s="7" t="str">
        <f>VLOOKUP(A357,Combined!$A$1:$C$501,2,FALSE)</f>
        <v>S071</v>
      </c>
      <c r="C357" s="7" t="s">
        <v>14</v>
      </c>
      <c r="D357" s="7" t="str">
        <f>VLOOKUP(A357,Combined!$A$1:$C$501,3,FALSE)</f>
        <v>C009</v>
      </c>
      <c r="E357" t="str">
        <f>VLOOKUP(D357,Combined!$C$1:$H$501,6,FALSE)</f>
        <v>Marketing</v>
      </c>
      <c r="F357">
        <f>VLOOKUP(D357,Combined!$C$1:$J$501,8,FALSE)</f>
        <v>3</v>
      </c>
      <c r="N357" t="s">
        <v>565</v>
      </c>
      <c r="O357">
        <v>4</v>
      </c>
    </row>
    <row r="358" spans="1:15">
      <c r="A358" s="8" t="s">
        <v>524</v>
      </c>
      <c r="B358" s="7" t="str">
        <f>VLOOKUP(A358,Combined!$A$1:$C$501,2,FALSE)</f>
        <v>S071</v>
      </c>
      <c r="C358" s="7" t="s">
        <v>14</v>
      </c>
      <c r="D358" s="7" t="str">
        <f>VLOOKUP(A358,Combined!$A$1:$C$501,3,FALSE)</f>
        <v>C002</v>
      </c>
      <c r="E358" t="str">
        <f>VLOOKUP(D358,Combined!$C$1:$H$501,6,FALSE)</f>
        <v>DBMS</v>
      </c>
      <c r="F358">
        <f>VLOOKUP(D358,Combined!$C$1:$J$501,8,FALSE)</f>
        <v>4</v>
      </c>
      <c r="M358" t="s">
        <v>85</v>
      </c>
      <c r="O358">
        <v>25</v>
      </c>
    </row>
    <row r="359" spans="1:15">
      <c r="A359" s="9" t="s">
        <v>695</v>
      </c>
      <c r="B359" s="7" t="str">
        <f>VLOOKUP(A359,Combined!$A$1:$C$501,2,FALSE)</f>
        <v>S071</v>
      </c>
      <c r="C359" s="7" t="s">
        <v>14</v>
      </c>
      <c r="D359" s="7" t="str">
        <f>VLOOKUP(A359,Combined!$A$1:$C$501,3,FALSE)</f>
        <v>C009</v>
      </c>
      <c r="E359" t="str">
        <f>VLOOKUP(D359,Combined!$C$1:$H$501,6,FALSE)</f>
        <v>Marketing</v>
      </c>
      <c r="F359">
        <f>VLOOKUP(D359,Combined!$C$1:$J$501,8,FALSE)</f>
        <v>3</v>
      </c>
      <c r="N359" t="s">
        <v>234</v>
      </c>
      <c r="O359">
        <v>3</v>
      </c>
    </row>
    <row r="360" spans="1:15">
      <c r="A360" s="9" t="s">
        <v>239</v>
      </c>
      <c r="B360" s="7" t="str">
        <f>VLOOKUP(A360,Combined!$A$1:$C$501,2,FALSE)</f>
        <v>S072</v>
      </c>
      <c r="C360" s="7" t="s">
        <v>17</v>
      </c>
      <c r="D360" s="7" t="str">
        <f>VLOOKUP(A360,Combined!$A$1:$C$501,3,FALSE)</f>
        <v>C004</v>
      </c>
      <c r="E360" t="str">
        <f>VLOOKUP(D360,Combined!$C$1:$H$501,6,FALSE)</f>
        <v>Circuits</v>
      </c>
      <c r="F360">
        <f>VLOOKUP(D360,Combined!$C$1:$J$501,8,FALSE)</f>
        <v>4</v>
      </c>
      <c r="N360" t="s">
        <v>358</v>
      </c>
      <c r="O360">
        <v>4</v>
      </c>
    </row>
    <row r="361" spans="1:15">
      <c r="A361" s="9" t="s">
        <v>287</v>
      </c>
      <c r="B361" s="7" t="str">
        <f>VLOOKUP(A361,Combined!$A$1:$C$501,2,FALSE)</f>
        <v>S072</v>
      </c>
      <c r="C361" s="7" t="s">
        <v>17</v>
      </c>
      <c r="D361" s="7" t="str">
        <f>VLOOKUP(A361,Combined!$A$1:$C$501,3,FALSE)</f>
        <v>C001</v>
      </c>
      <c r="E361" t="str">
        <f>VLOOKUP(D361,Combined!$C$1:$H$501,6,FALSE)</f>
        <v>Data Structures</v>
      </c>
      <c r="F361">
        <f>VLOOKUP(D361,Combined!$C$1:$J$501,8,FALSE)</f>
        <v>3</v>
      </c>
      <c r="N361" t="s">
        <v>400</v>
      </c>
      <c r="O361">
        <v>4</v>
      </c>
    </row>
    <row r="362" spans="1:15">
      <c r="A362" s="9" t="s">
        <v>289</v>
      </c>
      <c r="B362" s="7" t="str">
        <f>VLOOKUP(A362,Combined!$A$1:$C$501,2,FALSE)</f>
        <v>S072</v>
      </c>
      <c r="C362" s="7" t="s">
        <v>17</v>
      </c>
      <c r="D362" s="7" t="str">
        <f>VLOOKUP(A362,Combined!$A$1:$C$501,3,FALSE)</f>
        <v>C004</v>
      </c>
      <c r="E362" t="str">
        <f>VLOOKUP(D362,Combined!$C$1:$H$501,6,FALSE)</f>
        <v>Circuits</v>
      </c>
      <c r="F362">
        <f>VLOOKUP(D362,Combined!$C$1:$J$501,8,FALSE)</f>
        <v>4</v>
      </c>
      <c r="N362" t="s">
        <v>434</v>
      </c>
      <c r="O362">
        <v>3</v>
      </c>
    </row>
    <row r="363" spans="1:15">
      <c r="A363" s="8" t="s">
        <v>398</v>
      </c>
      <c r="B363" s="7" t="str">
        <f>VLOOKUP(A363,Combined!$A$1:$C$501,2,FALSE)</f>
        <v>S072</v>
      </c>
      <c r="C363" s="7" t="s">
        <v>17</v>
      </c>
      <c r="D363" s="7" t="str">
        <f>VLOOKUP(A363,Combined!$A$1:$C$501,3,FALSE)</f>
        <v>C006</v>
      </c>
      <c r="E363" t="str">
        <f>VLOOKUP(D363,Combined!$C$1:$H$501,6,FALSE)</f>
        <v>Fluid Mechanics</v>
      </c>
      <c r="F363">
        <f>VLOOKUP(D363,Combined!$C$1:$J$501,8,FALSE)</f>
        <v>4</v>
      </c>
      <c r="N363" t="s">
        <v>607</v>
      </c>
      <c r="O363">
        <v>4</v>
      </c>
    </row>
    <row r="364" spans="1:15">
      <c r="A364" s="8" t="s">
        <v>578</v>
      </c>
      <c r="B364" s="7" t="str">
        <f>VLOOKUP(A364,Combined!$A$1:$C$501,2,FALSE)</f>
        <v>S072</v>
      </c>
      <c r="C364" s="7" t="s">
        <v>17</v>
      </c>
      <c r="D364" s="7" t="str">
        <f>VLOOKUP(A364,Combined!$A$1:$C$501,3,FALSE)</f>
        <v>C002</v>
      </c>
      <c r="E364" t="str">
        <f>VLOOKUP(D364,Combined!$C$1:$H$501,6,FALSE)</f>
        <v>DBMS</v>
      </c>
      <c r="F364">
        <f>VLOOKUP(D364,Combined!$C$1:$J$501,8,FALSE)</f>
        <v>4</v>
      </c>
      <c r="N364" t="s">
        <v>699</v>
      </c>
      <c r="O364">
        <v>3</v>
      </c>
    </row>
    <row r="365" spans="1:15">
      <c r="A365" s="8" t="s">
        <v>630</v>
      </c>
      <c r="B365" s="7" t="str">
        <f>VLOOKUP(A365,Combined!$A$1:$C$501,2,FALSE)</f>
        <v>S072</v>
      </c>
      <c r="C365" s="7" t="s">
        <v>17</v>
      </c>
      <c r="D365" s="7" t="str">
        <f>VLOOKUP(A365,Combined!$A$1:$C$501,3,FALSE)</f>
        <v>C006</v>
      </c>
      <c r="E365" t="str">
        <f>VLOOKUP(D365,Combined!$C$1:$H$501,6,FALSE)</f>
        <v>Fluid Mechanics</v>
      </c>
      <c r="F365">
        <f>VLOOKUP(D365,Combined!$C$1:$J$501,8,FALSE)</f>
        <v>4</v>
      </c>
      <c r="N365" t="s">
        <v>700</v>
      </c>
      <c r="O365">
        <v>4</v>
      </c>
    </row>
    <row r="366" spans="1:15">
      <c r="A366" s="9" t="s">
        <v>649</v>
      </c>
      <c r="B366" s="7" t="str">
        <f>VLOOKUP(A366,Combined!$A$1:$C$501,2,FALSE)</f>
        <v>S072</v>
      </c>
      <c r="C366" s="7" t="s">
        <v>17</v>
      </c>
      <c r="D366" s="7" t="str">
        <f>VLOOKUP(A366,Combined!$A$1:$C$501,3,FALSE)</f>
        <v>C006</v>
      </c>
      <c r="E366" t="str">
        <f>VLOOKUP(D366,Combined!$C$1:$H$501,6,FALSE)</f>
        <v>Fluid Mechanics</v>
      </c>
      <c r="F366">
        <f>VLOOKUP(D366,Combined!$C$1:$J$501,8,FALSE)</f>
        <v>4</v>
      </c>
      <c r="M366" t="s">
        <v>86</v>
      </c>
      <c r="O366">
        <v>17</v>
      </c>
    </row>
    <row r="367" spans="1:15">
      <c r="A367" s="9" t="s">
        <v>269</v>
      </c>
      <c r="B367" s="7" t="str">
        <f>VLOOKUP(A367,Combined!$A$1:$C$501,2,FALSE)</f>
        <v>S073</v>
      </c>
      <c r="C367" s="7" t="s">
        <v>31</v>
      </c>
      <c r="D367" s="7" t="str">
        <f>VLOOKUP(A367,Combined!$A$1:$C$501,3,FALSE)</f>
        <v>C004</v>
      </c>
      <c r="E367" t="str">
        <f>VLOOKUP(D367,Combined!$C$1:$H$501,6,FALSE)</f>
        <v>Circuits</v>
      </c>
      <c r="F367">
        <f>VLOOKUP(D367,Combined!$C$1:$J$501,8,FALSE)</f>
        <v>4</v>
      </c>
      <c r="N367" t="s">
        <v>228</v>
      </c>
      <c r="O367">
        <v>4</v>
      </c>
    </row>
    <row r="368" spans="1:15">
      <c r="A368" s="9" t="s">
        <v>275</v>
      </c>
      <c r="B368" s="7" t="str">
        <f>VLOOKUP(A368,Combined!$A$1:$C$501,2,FALSE)</f>
        <v>S073</v>
      </c>
      <c r="C368" s="7" t="s">
        <v>31</v>
      </c>
      <c r="D368" s="7" t="str">
        <f>VLOOKUP(A368,Combined!$A$1:$C$501,3,FALSE)</f>
        <v>C001</v>
      </c>
      <c r="E368" t="str">
        <f>VLOOKUP(D368,Combined!$C$1:$H$501,6,FALSE)</f>
        <v>Data Structures</v>
      </c>
      <c r="F368">
        <f>VLOOKUP(D368,Combined!$C$1:$J$501,8,FALSE)</f>
        <v>3</v>
      </c>
      <c r="N368" t="s">
        <v>493</v>
      </c>
      <c r="O368">
        <v>4</v>
      </c>
    </row>
    <row r="369" spans="1:15">
      <c r="A369" s="8" t="s">
        <v>310</v>
      </c>
      <c r="B369" s="7" t="str">
        <f>VLOOKUP(A369,Combined!$A$1:$C$501,2,FALSE)</f>
        <v>S073</v>
      </c>
      <c r="C369" s="7" t="s">
        <v>31</v>
      </c>
      <c r="D369" s="7" t="str">
        <f>VLOOKUP(A369,Combined!$A$1:$C$501,3,FALSE)</f>
        <v>C005</v>
      </c>
      <c r="E369" t="str">
        <f>VLOOKUP(D369,Combined!$C$1:$H$501,6,FALSE)</f>
        <v>AI &amp; ML</v>
      </c>
      <c r="F369">
        <f>VLOOKUP(D369,Combined!$C$1:$J$501,8,FALSE)</f>
        <v>3</v>
      </c>
      <c r="N369" t="s">
        <v>521</v>
      </c>
      <c r="O369">
        <v>3</v>
      </c>
    </row>
    <row r="370" spans="1:15">
      <c r="A370" s="9" t="s">
        <v>387</v>
      </c>
      <c r="B370" s="7" t="str">
        <f>VLOOKUP(A370,Combined!$A$1:$C$501,2,FALSE)</f>
        <v>S073</v>
      </c>
      <c r="C370" s="7" t="s">
        <v>31</v>
      </c>
      <c r="D370" s="7" t="str">
        <f>VLOOKUP(A370,Combined!$A$1:$C$501,3,FALSE)</f>
        <v>C001</v>
      </c>
      <c r="E370" t="str">
        <f>VLOOKUP(D370,Combined!$C$1:$H$501,6,FALSE)</f>
        <v>Data Structures</v>
      </c>
      <c r="F370">
        <f>VLOOKUP(D370,Combined!$C$1:$J$501,8,FALSE)</f>
        <v>3</v>
      </c>
      <c r="N370" t="s">
        <v>588</v>
      </c>
      <c r="O370">
        <v>3</v>
      </c>
    </row>
    <row r="371" spans="1:15">
      <c r="A371" s="8" t="s">
        <v>602</v>
      </c>
      <c r="B371" s="7" t="str">
        <f>VLOOKUP(A371,Combined!$A$1:$C$501,2,FALSE)</f>
        <v>S073</v>
      </c>
      <c r="C371" s="7" t="s">
        <v>31</v>
      </c>
      <c r="D371" s="7" t="str">
        <f>VLOOKUP(A371,Combined!$A$1:$C$501,3,FALSE)</f>
        <v>C001</v>
      </c>
      <c r="E371" t="str">
        <f>VLOOKUP(D371,Combined!$C$1:$H$501,6,FALSE)</f>
        <v>Data Structures</v>
      </c>
      <c r="F371">
        <f>VLOOKUP(D371,Combined!$C$1:$J$501,8,FALSE)</f>
        <v>3</v>
      </c>
      <c r="N371" t="s">
        <v>592</v>
      </c>
      <c r="O371">
        <v>3</v>
      </c>
    </row>
    <row r="372" spans="1:15">
      <c r="A372" s="9" t="s">
        <v>309</v>
      </c>
      <c r="B372" s="7" t="str">
        <f>VLOOKUP(A372,Combined!$A$1:$C$501,2,FALSE)</f>
        <v>S074</v>
      </c>
      <c r="C372" s="7" t="s">
        <v>75</v>
      </c>
      <c r="D372" s="7" t="str">
        <f>VLOOKUP(A372,Combined!$A$1:$C$501,3,FALSE)</f>
        <v>C001</v>
      </c>
      <c r="E372" t="str">
        <f>VLOOKUP(D372,Combined!$C$1:$H$501,6,FALSE)</f>
        <v>Data Structures</v>
      </c>
      <c r="F372">
        <f>VLOOKUP(D372,Combined!$C$1:$J$501,8,FALSE)</f>
        <v>3</v>
      </c>
      <c r="M372" t="s">
        <v>87</v>
      </c>
      <c r="O372">
        <v>18</v>
      </c>
    </row>
    <row r="373" spans="1:15">
      <c r="A373" s="9" t="s">
        <v>359</v>
      </c>
      <c r="B373" s="7" t="str">
        <f>VLOOKUP(A373,Combined!$A$1:$C$501,2,FALSE)</f>
        <v>S074</v>
      </c>
      <c r="C373" s="7" t="s">
        <v>75</v>
      </c>
      <c r="D373" s="7" t="str">
        <f>VLOOKUP(A373,Combined!$A$1:$C$501,3,FALSE)</f>
        <v>C007</v>
      </c>
      <c r="E373" t="str">
        <f>VLOOKUP(D373,Combined!$C$1:$H$501,6,FALSE)</f>
        <v>Digital Logic</v>
      </c>
      <c r="F373">
        <f>VLOOKUP(D373,Combined!$C$1:$J$501,8,FALSE)</f>
        <v>3</v>
      </c>
      <c r="N373" t="s">
        <v>205</v>
      </c>
      <c r="O373">
        <v>4</v>
      </c>
    </row>
    <row r="374" spans="1:15">
      <c r="A374" s="9" t="s">
        <v>385</v>
      </c>
      <c r="B374" s="7" t="str">
        <f>VLOOKUP(A374,Combined!$A$1:$C$501,2,FALSE)</f>
        <v>S074</v>
      </c>
      <c r="C374" s="7" t="s">
        <v>75</v>
      </c>
      <c r="D374" s="7" t="str">
        <f>VLOOKUP(A374,Combined!$A$1:$C$501,3,FALSE)</f>
        <v>C005</v>
      </c>
      <c r="E374" t="str">
        <f>VLOOKUP(D374,Combined!$C$1:$H$501,6,FALSE)</f>
        <v>AI &amp; ML</v>
      </c>
      <c r="F374">
        <f>VLOOKUP(D374,Combined!$C$1:$J$501,8,FALSE)</f>
        <v>3</v>
      </c>
      <c r="N374" t="s">
        <v>351</v>
      </c>
      <c r="O374">
        <v>4</v>
      </c>
    </row>
    <row r="375" spans="1:15">
      <c r="A375" s="9" t="s">
        <v>447</v>
      </c>
      <c r="B375" s="7" t="str">
        <f>VLOOKUP(A375,Combined!$A$1:$C$501,2,FALSE)</f>
        <v>S074</v>
      </c>
      <c r="C375" s="7" t="s">
        <v>75</v>
      </c>
      <c r="D375" s="7" t="str">
        <f>VLOOKUP(A375,Combined!$A$1:$C$501,3,FALSE)</f>
        <v>C009</v>
      </c>
      <c r="E375" t="str">
        <f>VLOOKUP(D375,Combined!$C$1:$H$501,6,FALSE)</f>
        <v>Marketing</v>
      </c>
      <c r="F375">
        <f>VLOOKUP(D375,Combined!$C$1:$J$501,8,FALSE)</f>
        <v>3</v>
      </c>
      <c r="N375" t="s">
        <v>402</v>
      </c>
      <c r="O375">
        <v>3</v>
      </c>
    </row>
    <row r="376" spans="1:15">
      <c r="A376" s="9" t="s">
        <v>473</v>
      </c>
      <c r="B376" s="7" t="str">
        <f>VLOOKUP(A376,Combined!$A$1:$C$501,2,FALSE)</f>
        <v>S074</v>
      </c>
      <c r="C376" s="7" t="s">
        <v>75</v>
      </c>
      <c r="D376" s="7" t="str">
        <f>VLOOKUP(A376,Combined!$A$1:$C$501,3,FALSE)</f>
        <v>C007</v>
      </c>
      <c r="E376" t="str">
        <f>VLOOKUP(D376,Combined!$C$1:$H$501,6,FALSE)</f>
        <v>Digital Logic</v>
      </c>
      <c r="F376">
        <f>VLOOKUP(D376,Combined!$C$1:$J$501,8,FALSE)</f>
        <v>3</v>
      </c>
      <c r="N376" t="s">
        <v>520</v>
      </c>
      <c r="O376">
        <v>4</v>
      </c>
    </row>
    <row r="377" spans="1:15">
      <c r="A377" s="9" t="s">
        <v>543</v>
      </c>
      <c r="B377" s="7" t="str">
        <f>VLOOKUP(A377,Combined!$A$1:$C$501,2,FALSE)</f>
        <v>S074</v>
      </c>
      <c r="C377" s="7" t="s">
        <v>75</v>
      </c>
      <c r="D377" s="7" t="str">
        <f>VLOOKUP(A377,Combined!$A$1:$C$501,3,FALSE)</f>
        <v>C007</v>
      </c>
      <c r="E377" t="str">
        <f>VLOOKUP(D377,Combined!$C$1:$H$501,6,FALSE)</f>
        <v>Digital Logic</v>
      </c>
      <c r="F377">
        <f>VLOOKUP(D377,Combined!$C$1:$J$501,8,FALSE)</f>
        <v>3</v>
      </c>
      <c r="N377" t="s">
        <v>633</v>
      </c>
      <c r="O377">
        <v>3</v>
      </c>
    </row>
    <row r="378" spans="1:15">
      <c r="A378" s="9" t="s">
        <v>214</v>
      </c>
      <c r="B378" s="7" t="str">
        <f>VLOOKUP(A378,Combined!$A$1:$C$501,2,FALSE)</f>
        <v>S075</v>
      </c>
      <c r="C378" s="7" t="s">
        <v>75</v>
      </c>
      <c r="D378" s="7" t="str">
        <f>VLOOKUP(A378,Combined!$A$1:$C$501,3,FALSE)</f>
        <v>C005</v>
      </c>
      <c r="E378" t="str">
        <f>VLOOKUP(D378,Combined!$C$1:$H$501,6,FALSE)</f>
        <v>AI &amp; ML</v>
      </c>
      <c r="F378">
        <f>VLOOKUP(D378,Combined!$C$1:$J$501,8,FALSE)</f>
        <v>3</v>
      </c>
      <c r="M378" t="s">
        <v>88</v>
      </c>
      <c r="O378">
        <v>15</v>
      </c>
    </row>
    <row r="379" spans="1:15">
      <c r="A379" s="8" t="s">
        <v>272</v>
      </c>
      <c r="B379" s="7" t="str">
        <f>VLOOKUP(A379,Combined!$A$1:$C$501,2,FALSE)</f>
        <v>S075</v>
      </c>
      <c r="C379" s="7" t="s">
        <v>75</v>
      </c>
      <c r="D379" s="7" t="str">
        <f>VLOOKUP(A379,Combined!$A$1:$C$501,3,FALSE)</f>
        <v>C001</v>
      </c>
      <c r="E379" t="str">
        <f>VLOOKUP(D379,Combined!$C$1:$H$501,6,FALSE)</f>
        <v>Data Structures</v>
      </c>
      <c r="F379">
        <f>VLOOKUP(D379,Combined!$C$1:$J$501,8,FALSE)</f>
        <v>3</v>
      </c>
      <c r="N379" t="s">
        <v>306</v>
      </c>
      <c r="O379">
        <v>4</v>
      </c>
    </row>
    <row r="380" spans="1:15">
      <c r="A380" s="8" t="s">
        <v>684</v>
      </c>
      <c r="B380" s="7" t="str">
        <f>VLOOKUP(A380,Combined!$A$1:$C$501,2,FALSE)</f>
        <v>S075</v>
      </c>
      <c r="C380" s="7" t="s">
        <v>75</v>
      </c>
      <c r="D380" s="7" t="str">
        <f>VLOOKUP(A380,Combined!$A$1:$C$501,3,FALSE)</f>
        <v>C010</v>
      </c>
      <c r="E380" t="str">
        <f>VLOOKUP(D380,Combined!$C$1:$H$501,6,FALSE)</f>
        <v>Finance</v>
      </c>
      <c r="F380">
        <f>VLOOKUP(D380,Combined!$C$1:$J$501,8,FALSE)</f>
        <v>4</v>
      </c>
      <c r="N380" t="s">
        <v>606</v>
      </c>
      <c r="O380">
        <v>4</v>
      </c>
    </row>
    <row r="381" spans="1:15">
      <c r="A381" s="9" t="s">
        <v>443</v>
      </c>
      <c r="B381" s="7" t="str">
        <f>VLOOKUP(A381,Combined!$A$1:$C$501,2,FALSE)</f>
        <v>S076</v>
      </c>
      <c r="C381" s="7" t="s">
        <v>10</v>
      </c>
      <c r="D381" s="7" t="str">
        <f>VLOOKUP(A381,Combined!$A$1:$C$501,3,FALSE)</f>
        <v>C009</v>
      </c>
      <c r="E381" t="str">
        <f>VLOOKUP(D381,Combined!$C$1:$H$501,6,FALSE)</f>
        <v>Marketing</v>
      </c>
      <c r="F381">
        <f>VLOOKUP(D381,Combined!$C$1:$J$501,8,FALSE)</f>
        <v>3</v>
      </c>
      <c r="N381" t="s">
        <v>681</v>
      </c>
      <c r="O381">
        <v>4</v>
      </c>
    </row>
    <row r="382" spans="1:15">
      <c r="A382" s="8" t="s">
        <v>478</v>
      </c>
      <c r="B382" s="7" t="str">
        <f>VLOOKUP(A382,Combined!$A$1:$C$501,2,FALSE)</f>
        <v>S076</v>
      </c>
      <c r="C382" s="7" t="s">
        <v>10</v>
      </c>
      <c r="D382" s="7" t="str">
        <f>VLOOKUP(A382,Combined!$A$1:$C$501,3,FALSE)</f>
        <v>C007</v>
      </c>
      <c r="E382" t="str">
        <f>VLOOKUP(D382,Combined!$C$1:$H$501,6,FALSE)</f>
        <v>Digital Logic</v>
      </c>
      <c r="F382">
        <f>VLOOKUP(D382,Combined!$C$1:$J$501,8,FALSE)</f>
        <v>3</v>
      </c>
      <c r="N382" t="s">
        <v>690</v>
      </c>
      <c r="O382">
        <v>3</v>
      </c>
    </row>
    <row r="383" spans="1:15">
      <c r="A383" s="8" t="s">
        <v>216</v>
      </c>
      <c r="B383" s="7" t="str">
        <f>VLOOKUP(A383,Combined!$A$1:$C$501,2,FALSE)</f>
        <v>S077</v>
      </c>
      <c r="C383" s="7" t="s">
        <v>20</v>
      </c>
      <c r="D383" s="7" t="str">
        <f>VLOOKUP(A383,Combined!$A$1:$C$501,3,FALSE)</f>
        <v>C007</v>
      </c>
      <c r="E383" t="str">
        <f>VLOOKUP(D383,Combined!$C$1:$H$501,6,FALSE)</f>
        <v>Digital Logic</v>
      </c>
      <c r="F383">
        <f>VLOOKUP(D383,Combined!$C$1:$J$501,8,FALSE)</f>
        <v>3</v>
      </c>
      <c r="M383" t="s">
        <v>89</v>
      </c>
      <c r="O383">
        <v>7</v>
      </c>
    </row>
    <row r="384" spans="1:15">
      <c r="A384" s="9" t="s">
        <v>325</v>
      </c>
      <c r="B384" s="7" t="str">
        <f>VLOOKUP(A384,Combined!$A$1:$C$501,2,FALSE)</f>
        <v>S077</v>
      </c>
      <c r="C384" s="7" t="s">
        <v>20</v>
      </c>
      <c r="D384" s="7" t="str">
        <f>VLOOKUP(A384,Combined!$A$1:$C$501,3,FALSE)</f>
        <v>C010</v>
      </c>
      <c r="E384" t="str">
        <f>VLOOKUP(D384,Combined!$C$1:$H$501,6,FALSE)</f>
        <v>Finance</v>
      </c>
      <c r="F384">
        <f>VLOOKUP(D384,Combined!$C$1:$J$501,8,FALSE)</f>
        <v>4</v>
      </c>
      <c r="N384" t="s">
        <v>255</v>
      </c>
      <c r="O384">
        <v>4</v>
      </c>
    </row>
    <row r="385" spans="1:15">
      <c r="A385" s="8" t="s">
        <v>446</v>
      </c>
      <c r="B385" s="7" t="str">
        <f>VLOOKUP(A385,Combined!$A$1:$C$501,2,FALSE)</f>
        <v>S077</v>
      </c>
      <c r="C385" s="7" t="s">
        <v>20</v>
      </c>
      <c r="D385" s="7" t="str">
        <f>VLOOKUP(A385,Combined!$A$1:$C$501,3,FALSE)</f>
        <v>C005</v>
      </c>
      <c r="E385" t="str">
        <f>VLOOKUP(D385,Combined!$C$1:$H$501,6,FALSE)</f>
        <v>AI &amp; ML</v>
      </c>
      <c r="F385">
        <f>VLOOKUP(D385,Combined!$C$1:$J$501,8,FALSE)</f>
        <v>3</v>
      </c>
      <c r="N385" t="s">
        <v>256</v>
      </c>
      <c r="O385">
        <v>3</v>
      </c>
    </row>
    <row r="386" spans="1:15">
      <c r="A386" s="9" t="s">
        <v>515</v>
      </c>
      <c r="B386" s="7" t="str">
        <f>VLOOKUP(A386,Combined!$A$1:$C$501,2,FALSE)</f>
        <v>S077</v>
      </c>
      <c r="C386" s="7" t="s">
        <v>20</v>
      </c>
      <c r="D386" s="7" t="str">
        <f>VLOOKUP(A386,Combined!$A$1:$C$501,3,FALSE)</f>
        <v>C007</v>
      </c>
      <c r="E386" t="str">
        <f>VLOOKUP(D386,Combined!$C$1:$H$501,6,FALSE)</f>
        <v>Digital Logic</v>
      </c>
      <c r="F386">
        <f>VLOOKUP(D386,Combined!$C$1:$J$501,8,FALSE)</f>
        <v>3</v>
      </c>
      <c r="M386" t="s">
        <v>90</v>
      </c>
      <c r="O386">
        <v>10</v>
      </c>
    </row>
    <row r="387" spans="1:15">
      <c r="A387" s="8" t="s">
        <v>622</v>
      </c>
      <c r="B387" s="7" t="str">
        <f>VLOOKUP(A387,Combined!$A$1:$C$501,2,FALSE)</f>
        <v>S077</v>
      </c>
      <c r="C387" s="7" t="s">
        <v>20</v>
      </c>
      <c r="D387" s="7" t="str">
        <f>VLOOKUP(A387,Combined!$A$1:$C$501,3,FALSE)</f>
        <v>C008</v>
      </c>
      <c r="E387" t="str">
        <f>VLOOKUP(D387,Combined!$C$1:$H$501,6,FALSE)</f>
        <v>Structural Analysis</v>
      </c>
      <c r="F387">
        <f>VLOOKUP(D387,Combined!$C$1:$J$501,8,FALSE)</f>
        <v>4</v>
      </c>
      <c r="N387" t="s">
        <v>406</v>
      </c>
      <c r="O387">
        <v>4</v>
      </c>
    </row>
    <row r="388" spans="1:15">
      <c r="A388" s="9" t="s">
        <v>641</v>
      </c>
      <c r="B388" s="7" t="str">
        <f>VLOOKUP(A388,Combined!$A$1:$C$501,2,FALSE)</f>
        <v>S077</v>
      </c>
      <c r="C388" s="7" t="s">
        <v>20</v>
      </c>
      <c r="D388" s="7" t="str">
        <f>VLOOKUP(A388,Combined!$A$1:$C$501,3,FALSE)</f>
        <v>C008</v>
      </c>
      <c r="E388" t="str">
        <f>VLOOKUP(D388,Combined!$C$1:$H$501,6,FALSE)</f>
        <v>Structural Analysis</v>
      </c>
      <c r="F388">
        <f>VLOOKUP(D388,Combined!$C$1:$J$501,8,FALSE)</f>
        <v>4</v>
      </c>
      <c r="N388" t="s">
        <v>605</v>
      </c>
      <c r="O388">
        <v>3</v>
      </c>
    </row>
    <row r="389" spans="1:15">
      <c r="A389" s="8" t="s">
        <v>452</v>
      </c>
      <c r="B389" s="7" t="str">
        <f>VLOOKUP(A389,Combined!$A$1:$C$501,2,FALSE)</f>
        <v>S078</v>
      </c>
      <c r="C389" s="7" t="s">
        <v>25</v>
      </c>
      <c r="D389" s="7" t="str">
        <f>VLOOKUP(A389,Combined!$A$1:$C$501,3,FALSE)</f>
        <v>C005</v>
      </c>
      <c r="E389" t="str">
        <f>VLOOKUP(D389,Combined!$C$1:$H$501,6,FALSE)</f>
        <v>AI &amp; ML</v>
      </c>
      <c r="F389">
        <f>VLOOKUP(D389,Combined!$C$1:$J$501,8,FALSE)</f>
        <v>3</v>
      </c>
      <c r="N389" t="s">
        <v>618</v>
      </c>
      <c r="O389">
        <v>3</v>
      </c>
    </row>
    <row r="390" spans="1:15">
      <c r="A390" s="8" t="s">
        <v>484</v>
      </c>
      <c r="B390" s="7" t="str">
        <f>VLOOKUP(A390,Combined!$A$1:$C$501,2,FALSE)</f>
        <v>S078</v>
      </c>
      <c r="C390" s="7" t="s">
        <v>25</v>
      </c>
      <c r="D390" s="7" t="str">
        <f>VLOOKUP(A390,Combined!$A$1:$C$501,3,FALSE)</f>
        <v>C003</v>
      </c>
      <c r="E390" t="str">
        <f>VLOOKUP(D390,Combined!$C$1:$H$501,6,FALSE)</f>
        <v>Thermodynamics</v>
      </c>
      <c r="F390">
        <f>VLOOKUP(D390,Combined!$C$1:$J$501,8,FALSE)</f>
        <v>3</v>
      </c>
      <c r="M390" t="s">
        <v>91</v>
      </c>
      <c r="O390">
        <v>20</v>
      </c>
    </row>
    <row r="391" spans="1:15">
      <c r="A391" s="9" t="s">
        <v>495</v>
      </c>
      <c r="B391" s="7" t="str">
        <f>VLOOKUP(A391,Combined!$A$1:$C$501,2,FALSE)</f>
        <v>S078</v>
      </c>
      <c r="C391" s="7" t="s">
        <v>25</v>
      </c>
      <c r="D391" s="7" t="str">
        <f>VLOOKUP(A391,Combined!$A$1:$C$501,3,FALSE)</f>
        <v>C008</v>
      </c>
      <c r="E391" t="str">
        <f>VLOOKUP(D391,Combined!$C$1:$H$501,6,FALSE)</f>
        <v>Structural Analysis</v>
      </c>
      <c r="F391">
        <f>VLOOKUP(D391,Combined!$C$1:$J$501,8,FALSE)</f>
        <v>4</v>
      </c>
      <c r="N391" t="s">
        <v>222</v>
      </c>
      <c r="O391">
        <v>3</v>
      </c>
    </row>
    <row r="392" spans="1:15">
      <c r="A392" s="9" t="s">
        <v>573</v>
      </c>
      <c r="B392" s="7" t="str">
        <f>VLOOKUP(A392,Combined!$A$1:$C$501,2,FALSE)</f>
        <v>S078</v>
      </c>
      <c r="C392" s="7" t="s">
        <v>25</v>
      </c>
      <c r="D392" s="7" t="str">
        <f>VLOOKUP(A392,Combined!$A$1:$C$501,3,FALSE)</f>
        <v>C003</v>
      </c>
      <c r="E392" t="str">
        <f>VLOOKUP(D392,Combined!$C$1:$H$501,6,FALSE)</f>
        <v>Thermodynamics</v>
      </c>
      <c r="F392">
        <f>VLOOKUP(D392,Combined!$C$1:$J$501,8,FALSE)</f>
        <v>3</v>
      </c>
      <c r="N392" t="s">
        <v>354</v>
      </c>
      <c r="O392">
        <v>3</v>
      </c>
    </row>
    <row r="393" spans="1:15">
      <c r="A393" s="9" t="s">
        <v>631</v>
      </c>
      <c r="B393" s="7" t="str">
        <f>VLOOKUP(A393,Combined!$A$1:$C$501,2,FALSE)</f>
        <v>S078</v>
      </c>
      <c r="C393" s="7" t="s">
        <v>25</v>
      </c>
      <c r="D393" s="7" t="str">
        <f>VLOOKUP(A393,Combined!$A$1:$C$501,3,FALSE)</f>
        <v>C009</v>
      </c>
      <c r="E393" t="str">
        <f>VLOOKUP(D393,Combined!$C$1:$H$501,6,FALSE)</f>
        <v>Marketing</v>
      </c>
      <c r="F393">
        <f>VLOOKUP(D393,Combined!$C$1:$J$501,8,FALSE)</f>
        <v>3</v>
      </c>
      <c r="N393" t="s">
        <v>490</v>
      </c>
      <c r="O393">
        <v>4</v>
      </c>
    </row>
    <row r="394" spans="1:15">
      <c r="A394" s="8" t="s">
        <v>634</v>
      </c>
      <c r="B394" s="7" t="str">
        <f>VLOOKUP(A394,Combined!$A$1:$C$501,2,FALSE)</f>
        <v>S078</v>
      </c>
      <c r="C394" s="7" t="s">
        <v>25</v>
      </c>
      <c r="D394" s="7" t="str">
        <f>VLOOKUP(A394,Combined!$A$1:$C$501,3,FALSE)</f>
        <v>C009</v>
      </c>
      <c r="E394" t="str">
        <f>VLOOKUP(D394,Combined!$C$1:$H$501,6,FALSE)</f>
        <v>Marketing</v>
      </c>
      <c r="F394">
        <f>VLOOKUP(D394,Combined!$C$1:$J$501,8,FALSE)</f>
        <v>3</v>
      </c>
      <c r="N394" t="s">
        <v>529</v>
      </c>
      <c r="O394">
        <v>4</v>
      </c>
    </row>
    <row r="395" spans="1:15">
      <c r="A395" s="9" t="s">
        <v>225</v>
      </c>
      <c r="B395" s="7" t="str">
        <f>VLOOKUP(A395,Combined!$A$1:$C$501,2,FALSE)</f>
        <v>S079</v>
      </c>
      <c r="C395" s="7" t="s">
        <v>31</v>
      </c>
      <c r="D395" s="7" t="str">
        <f>VLOOKUP(A395,Combined!$A$1:$C$501,3,FALSE)</f>
        <v>C010</v>
      </c>
      <c r="E395" t="str">
        <f>VLOOKUP(D395,Combined!$C$1:$H$501,6,FALSE)</f>
        <v>Finance</v>
      </c>
      <c r="F395">
        <f>VLOOKUP(D395,Combined!$C$1:$J$501,8,FALSE)</f>
        <v>4</v>
      </c>
      <c r="N395" t="s">
        <v>600</v>
      </c>
      <c r="O395">
        <v>3</v>
      </c>
    </row>
    <row r="396" spans="1:15">
      <c r="A396" s="8" t="s">
        <v>280</v>
      </c>
      <c r="B396" s="7" t="str">
        <f>VLOOKUP(A396,Combined!$A$1:$C$501,2,FALSE)</f>
        <v>S079</v>
      </c>
      <c r="C396" s="7" t="s">
        <v>31</v>
      </c>
      <c r="D396" s="7" t="str">
        <f>VLOOKUP(A396,Combined!$A$1:$C$501,3,FALSE)</f>
        <v>C009</v>
      </c>
      <c r="E396" t="str">
        <f>VLOOKUP(D396,Combined!$C$1:$H$501,6,FALSE)</f>
        <v>Marketing</v>
      </c>
      <c r="F396">
        <f>VLOOKUP(D396,Combined!$C$1:$J$501,8,FALSE)</f>
        <v>3</v>
      </c>
      <c r="N396" t="s">
        <v>637</v>
      </c>
      <c r="O396">
        <v>3</v>
      </c>
    </row>
    <row r="397" spans="1:15">
      <c r="A397" s="9" t="s">
        <v>315</v>
      </c>
      <c r="B397" s="7" t="str">
        <f>VLOOKUP(A397,Combined!$A$1:$C$501,2,FALSE)</f>
        <v>S079</v>
      </c>
      <c r="C397" s="7" t="s">
        <v>31</v>
      </c>
      <c r="D397" s="7" t="str">
        <f>VLOOKUP(A397,Combined!$A$1:$C$501,3,FALSE)</f>
        <v>C002</v>
      </c>
      <c r="E397" t="str">
        <f>VLOOKUP(D397,Combined!$C$1:$H$501,6,FALSE)</f>
        <v>DBMS</v>
      </c>
      <c r="F397">
        <f>VLOOKUP(D397,Combined!$C$1:$J$501,8,FALSE)</f>
        <v>4</v>
      </c>
      <c r="M397" t="s">
        <v>92</v>
      </c>
      <c r="O397">
        <v>19</v>
      </c>
    </row>
    <row r="398" spans="1:15">
      <c r="A398" s="9" t="s">
        <v>403</v>
      </c>
      <c r="B398" s="7" t="str">
        <f>VLOOKUP(A398,Combined!$A$1:$C$501,2,FALSE)</f>
        <v>S079</v>
      </c>
      <c r="C398" s="7" t="s">
        <v>31</v>
      </c>
      <c r="D398" s="7" t="str">
        <f>VLOOKUP(A398,Combined!$A$1:$C$501,3,FALSE)</f>
        <v>C004</v>
      </c>
      <c r="E398" t="str">
        <f>VLOOKUP(D398,Combined!$C$1:$H$501,6,FALSE)</f>
        <v>Circuits</v>
      </c>
      <c r="F398">
        <f>VLOOKUP(D398,Combined!$C$1:$J$501,8,FALSE)</f>
        <v>4</v>
      </c>
      <c r="N398" t="s">
        <v>229</v>
      </c>
      <c r="O398">
        <v>4</v>
      </c>
    </row>
    <row r="399" spans="1:15">
      <c r="A399" s="8" t="s">
        <v>534</v>
      </c>
      <c r="B399" s="7" t="str">
        <f>VLOOKUP(A399,Combined!$A$1:$C$501,2,FALSE)</f>
        <v>S079</v>
      </c>
      <c r="C399" s="7" t="s">
        <v>31</v>
      </c>
      <c r="D399" s="7" t="str">
        <f>VLOOKUP(A399,Combined!$A$1:$C$501,3,FALSE)</f>
        <v>C001</v>
      </c>
      <c r="E399" t="str">
        <f>VLOOKUP(D399,Combined!$C$1:$H$501,6,FALSE)</f>
        <v>Data Structures</v>
      </c>
      <c r="F399">
        <f>VLOOKUP(D399,Combined!$C$1:$J$501,8,FALSE)</f>
        <v>3</v>
      </c>
      <c r="N399" t="s">
        <v>350</v>
      </c>
      <c r="O399">
        <v>3</v>
      </c>
    </row>
    <row r="400" spans="1:15">
      <c r="A400" s="9" t="s">
        <v>615</v>
      </c>
      <c r="B400" s="7" t="str">
        <f>VLOOKUP(A400,Combined!$A$1:$C$501,2,FALSE)</f>
        <v>S079</v>
      </c>
      <c r="C400" s="7" t="s">
        <v>31</v>
      </c>
      <c r="D400" s="7" t="str">
        <f>VLOOKUP(A400,Combined!$A$1:$C$501,3,FALSE)</f>
        <v>C007</v>
      </c>
      <c r="E400" t="str">
        <f>VLOOKUP(D400,Combined!$C$1:$H$501,6,FALSE)</f>
        <v>Digital Logic</v>
      </c>
      <c r="F400">
        <f>VLOOKUP(D400,Combined!$C$1:$J$501,8,FALSE)</f>
        <v>3</v>
      </c>
      <c r="N400" t="s">
        <v>509</v>
      </c>
      <c r="O400">
        <v>4</v>
      </c>
    </row>
    <row r="401" spans="1:15">
      <c r="A401" s="9" t="s">
        <v>635</v>
      </c>
      <c r="B401" s="7" t="str">
        <f>VLOOKUP(A401,Combined!$A$1:$C$501,2,FALSE)</f>
        <v>S079</v>
      </c>
      <c r="C401" s="7" t="s">
        <v>31</v>
      </c>
      <c r="D401" s="7" t="str">
        <f>VLOOKUP(A401,Combined!$A$1:$C$501,3,FALSE)</f>
        <v>C006</v>
      </c>
      <c r="E401" t="str">
        <f>VLOOKUP(D401,Combined!$C$1:$H$501,6,FALSE)</f>
        <v>Fluid Mechanics</v>
      </c>
      <c r="F401">
        <f>VLOOKUP(D401,Combined!$C$1:$J$501,8,FALSE)</f>
        <v>4</v>
      </c>
      <c r="N401" t="s">
        <v>585</v>
      </c>
      <c r="O401">
        <v>4</v>
      </c>
    </row>
    <row r="402" spans="1:15">
      <c r="A402" s="8" t="s">
        <v>636</v>
      </c>
      <c r="B402" s="7" t="str">
        <f>VLOOKUP(A402,Combined!$A$1:$C$501,2,FALSE)</f>
        <v>S079</v>
      </c>
      <c r="C402" s="7" t="s">
        <v>31</v>
      </c>
      <c r="D402" s="7" t="str">
        <f>VLOOKUP(A402,Combined!$A$1:$C$501,3,FALSE)</f>
        <v>C005</v>
      </c>
      <c r="E402" t="str">
        <f>VLOOKUP(D402,Combined!$C$1:$H$501,6,FALSE)</f>
        <v>AI &amp; ML</v>
      </c>
      <c r="F402">
        <f>VLOOKUP(D402,Combined!$C$1:$J$501,8,FALSE)</f>
        <v>3</v>
      </c>
      <c r="N402" t="s">
        <v>679</v>
      </c>
      <c r="O402">
        <v>4</v>
      </c>
    </row>
    <row r="403" spans="1:15">
      <c r="A403" s="9" t="s">
        <v>689</v>
      </c>
      <c r="B403" s="7" t="str">
        <f>VLOOKUP(A403,Combined!$A$1:$C$501,2,FALSE)</f>
        <v>S079</v>
      </c>
      <c r="C403" s="7" t="s">
        <v>31</v>
      </c>
      <c r="D403" s="7" t="str">
        <f>VLOOKUP(A403,Combined!$A$1:$C$501,3,FALSE)</f>
        <v>C004</v>
      </c>
      <c r="E403" t="str">
        <f>VLOOKUP(D403,Combined!$C$1:$H$501,6,FALSE)</f>
        <v>Circuits</v>
      </c>
      <c r="F403">
        <f>VLOOKUP(D403,Combined!$C$1:$J$501,8,FALSE)</f>
        <v>4</v>
      </c>
      <c r="M403" t="s">
        <v>93</v>
      </c>
      <c r="O403">
        <v>3</v>
      </c>
    </row>
    <row r="404" spans="1:15">
      <c r="A404" s="9" t="s">
        <v>221</v>
      </c>
      <c r="B404" s="7" t="str">
        <f>VLOOKUP(A404,Combined!$A$1:$C$501,2,FALSE)</f>
        <v>S080</v>
      </c>
      <c r="C404" s="7" t="s">
        <v>10</v>
      </c>
      <c r="D404" s="7" t="str">
        <f>VLOOKUP(A404,Combined!$A$1:$C$501,3,FALSE)</f>
        <v>C006</v>
      </c>
      <c r="E404" t="str">
        <f>VLOOKUP(D404,Combined!$C$1:$H$501,6,FALSE)</f>
        <v>Fluid Mechanics</v>
      </c>
      <c r="F404">
        <f>VLOOKUP(D404,Combined!$C$1:$J$501,8,FALSE)</f>
        <v>4</v>
      </c>
      <c r="N404" t="s">
        <v>561</v>
      </c>
      <c r="O404">
        <v>3</v>
      </c>
    </row>
    <row r="405" spans="1:15">
      <c r="A405" s="9" t="s">
        <v>343</v>
      </c>
      <c r="B405" s="7" t="str">
        <f>VLOOKUP(A405,Combined!$A$1:$C$501,2,FALSE)</f>
        <v>S080</v>
      </c>
      <c r="C405" s="7" t="s">
        <v>10</v>
      </c>
      <c r="D405" s="7" t="str">
        <f>VLOOKUP(A405,Combined!$A$1:$C$501,3,FALSE)</f>
        <v>C008</v>
      </c>
      <c r="E405" t="str">
        <f>VLOOKUP(D405,Combined!$C$1:$H$501,6,FALSE)</f>
        <v>Structural Analysis</v>
      </c>
      <c r="F405">
        <f>VLOOKUP(D405,Combined!$C$1:$J$501,8,FALSE)</f>
        <v>4</v>
      </c>
      <c r="M405" t="s">
        <v>94</v>
      </c>
      <c r="O405">
        <v>24</v>
      </c>
    </row>
    <row r="406" spans="1:15">
      <c r="A406" s="8" t="s">
        <v>366</v>
      </c>
      <c r="B406" s="7" t="str">
        <f>VLOOKUP(A406,Combined!$A$1:$C$501,2,FALSE)</f>
        <v>S080</v>
      </c>
      <c r="C406" s="7" t="s">
        <v>10</v>
      </c>
      <c r="D406" s="7" t="str">
        <f>VLOOKUP(A406,Combined!$A$1:$C$501,3,FALSE)</f>
        <v>C007</v>
      </c>
      <c r="E406" t="str">
        <f>VLOOKUP(D406,Combined!$C$1:$H$501,6,FALSE)</f>
        <v>Digital Logic</v>
      </c>
      <c r="F406">
        <f>VLOOKUP(D406,Combined!$C$1:$J$501,8,FALSE)</f>
        <v>3</v>
      </c>
      <c r="N406" t="s">
        <v>375</v>
      </c>
      <c r="O406">
        <v>3</v>
      </c>
    </row>
    <row r="407" spans="1:15">
      <c r="A407" s="9" t="s">
        <v>369</v>
      </c>
      <c r="B407" s="7" t="str">
        <f>VLOOKUP(A407,Combined!$A$1:$C$501,2,FALSE)</f>
        <v>S080</v>
      </c>
      <c r="C407" s="7" t="s">
        <v>10</v>
      </c>
      <c r="D407" s="7" t="str">
        <f>VLOOKUP(A407,Combined!$A$1:$C$501,3,FALSE)</f>
        <v>C002</v>
      </c>
      <c r="E407" t="str">
        <f>VLOOKUP(D407,Combined!$C$1:$H$501,6,FALSE)</f>
        <v>DBMS</v>
      </c>
      <c r="F407">
        <f>VLOOKUP(D407,Combined!$C$1:$J$501,8,FALSE)</f>
        <v>4</v>
      </c>
      <c r="N407" t="s">
        <v>481</v>
      </c>
      <c r="O407">
        <v>3</v>
      </c>
    </row>
    <row r="408" spans="1:15">
      <c r="A408" s="9" t="s">
        <v>377</v>
      </c>
      <c r="B408" s="7" t="str">
        <f>VLOOKUP(A408,Combined!$A$1:$C$501,2,FALSE)</f>
        <v>S080</v>
      </c>
      <c r="C408" s="7" t="s">
        <v>10</v>
      </c>
      <c r="D408" s="7" t="str">
        <f>VLOOKUP(A408,Combined!$A$1:$C$501,3,FALSE)</f>
        <v>C004</v>
      </c>
      <c r="E408" t="str">
        <f>VLOOKUP(D408,Combined!$C$1:$H$501,6,FALSE)</f>
        <v>Circuits</v>
      </c>
      <c r="F408">
        <f>VLOOKUP(D408,Combined!$C$1:$J$501,8,FALSE)</f>
        <v>4</v>
      </c>
      <c r="N408" t="s">
        <v>499</v>
      </c>
      <c r="O408">
        <v>3</v>
      </c>
    </row>
    <row r="409" spans="1:15">
      <c r="A409" s="8" t="s">
        <v>476</v>
      </c>
      <c r="B409" s="7" t="str">
        <f>VLOOKUP(A409,Combined!$A$1:$C$501,2,FALSE)</f>
        <v>S080</v>
      </c>
      <c r="C409" s="7" t="s">
        <v>10</v>
      </c>
      <c r="D409" s="7" t="str">
        <f>VLOOKUP(A409,Combined!$A$1:$C$501,3,FALSE)</f>
        <v>C008</v>
      </c>
      <c r="E409" t="str">
        <f>VLOOKUP(D409,Combined!$C$1:$H$501,6,FALSE)</f>
        <v>Structural Analysis</v>
      </c>
      <c r="F409">
        <f>VLOOKUP(D409,Combined!$C$1:$J$501,8,FALSE)</f>
        <v>4</v>
      </c>
      <c r="N409" t="s">
        <v>544</v>
      </c>
      <c r="O409">
        <v>4</v>
      </c>
    </row>
    <row r="410" spans="1:15">
      <c r="A410" s="8" t="s">
        <v>628</v>
      </c>
      <c r="B410" s="7" t="str">
        <f>VLOOKUP(A410,Combined!$A$1:$C$501,2,FALSE)</f>
        <v>S080</v>
      </c>
      <c r="C410" s="7" t="s">
        <v>10</v>
      </c>
      <c r="D410" s="7" t="str">
        <f>VLOOKUP(A410,Combined!$A$1:$C$501,3,FALSE)</f>
        <v>C010</v>
      </c>
      <c r="E410" t="str">
        <f>VLOOKUP(D410,Combined!$C$1:$H$501,6,FALSE)</f>
        <v>Finance</v>
      </c>
      <c r="F410">
        <f>VLOOKUP(D410,Combined!$C$1:$J$501,8,FALSE)</f>
        <v>4</v>
      </c>
      <c r="N410" t="s">
        <v>575</v>
      </c>
      <c r="O410">
        <v>4</v>
      </c>
    </row>
    <row r="411" spans="1:15">
      <c r="A411" s="8" t="s">
        <v>368</v>
      </c>
      <c r="B411" s="7" t="str">
        <f>VLOOKUP(A411,Combined!$A$1:$C$501,2,FALSE)</f>
        <v>S081</v>
      </c>
      <c r="C411" s="7" t="s">
        <v>47</v>
      </c>
      <c r="D411" s="7" t="str">
        <f>VLOOKUP(A411,Combined!$A$1:$C$501,3,FALSE)</f>
        <v>C008</v>
      </c>
      <c r="E411" t="str">
        <f>VLOOKUP(D411,Combined!$C$1:$H$501,6,FALSE)</f>
        <v>Structural Analysis</v>
      </c>
      <c r="F411">
        <f>VLOOKUP(D411,Combined!$C$1:$J$501,8,FALSE)</f>
        <v>4</v>
      </c>
      <c r="N411" t="s">
        <v>590</v>
      </c>
      <c r="O411">
        <v>3</v>
      </c>
    </row>
    <row r="412" spans="1:15">
      <c r="A412" s="9" t="s">
        <v>487</v>
      </c>
      <c r="B412" s="7" t="str">
        <f>VLOOKUP(A412,Combined!$A$1:$C$501,2,FALSE)</f>
        <v>S081</v>
      </c>
      <c r="C412" s="7" t="s">
        <v>47</v>
      </c>
      <c r="D412" s="7" t="str">
        <f>VLOOKUP(A412,Combined!$A$1:$C$501,3,FALSE)</f>
        <v>C006</v>
      </c>
      <c r="E412" t="str">
        <f>VLOOKUP(D412,Combined!$C$1:$H$501,6,FALSE)</f>
        <v>Fluid Mechanics</v>
      </c>
      <c r="F412">
        <f>VLOOKUP(D412,Combined!$C$1:$J$501,8,FALSE)</f>
        <v>4</v>
      </c>
      <c r="N412" t="s">
        <v>693</v>
      </c>
      <c r="O412">
        <v>4</v>
      </c>
    </row>
    <row r="413" spans="1:15">
      <c r="A413" s="8" t="s">
        <v>502</v>
      </c>
      <c r="B413" s="7" t="str">
        <f>VLOOKUP(A413,Combined!$A$1:$C$501,2,FALSE)</f>
        <v>S081</v>
      </c>
      <c r="C413" s="7" t="s">
        <v>47</v>
      </c>
      <c r="D413" s="7" t="str">
        <f>VLOOKUP(A413,Combined!$A$1:$C$501,3,FALSE)</f>
        <v>C006</v>
      </c>
      <c r="E413" t="str">
        <f>VLOOKUP(D413,Combined!$C$1:$H$501,6,FALSE)</f>
        <v>Fluid Mechanics</v>
      </c>
      <c r="F413">
        <f>VLOOKUP(D413,Combined!$C$1:$J$501,8,FALSE)</f>
        <v>4</v>
      </c>
      <c r="M413" t="s">
        <v>95</v>
      </c>
      <c r="O413">
        <v>6</v>
      </c>
    </row>
    <row r="414" spans="1:15">
      <c r="A414" s="8" t="s">
        <v>540</v>
      </c>
      <c r="B414" s="7" t="str">
        <f>VLOOKUP(A414,Combined!$A$1:$C$501,2,FALSE)</f>
        <v>S081</v>
      </c>
      <c r="C414" s="7" t="s">
        <v>47</v>
      </c>
      <c r="D414" s="7" t="str">
        <f>VLOOKUP(A414,Combined!$A$1:$C$501,3,FALSE)</f>
        <v>C009</v>
      </c>
      <c r="E414" t="str">
        <f>VLOOKUP(D414,Combined!$C$1:$H$501,6,FALSE)</f>
        <v>Marketing</v>
      </c>
      <c r="F414">
        <f>VLOOKUP(D414,Combined!$C$1:$J$501,8,FALSE)</f>
        <v>3</v>
      </c>
      <c r="N414" t="s">
        <v>407</v>
      </c>
      <c r="O414">
        <v>3</v>
      </c>
    </row>
    <row r="415" spans="1:15">
      <c r="A415" s="9" t="s">
        <v>551</v>
      </c>
      <c r="B415" s="7" t="str">
        <f>VLOOKUP(A415,Combined!$A$1:$C$501,2,FALSE)</f>
        <v>S081</v>
      </c>
      <c r="C415" s="7" t="s">
        <v>47</v>
      </c>
      <c r="D415" s="7" t="str">
        <f>VLOOKUP(A415,Combined!$A$1:$C$501,3,FALSE)</f>
        <v>C003</v>
      </c>
      <c r="E415" t="str">
        <f>VLOOKUP(D415,Combined!$C$1:$H$501,6,FALSE)</f>
        <v>Thermodynamics</v>
      </c>
      <c r="F415">
        <f>VLOOKUP(D415,Combined!$C$1:$J$501,8,FALSE)</f>
        <v>3</v>
      </c>
      <c r="N415" t="s">
        <v>669</v>
      </c>
      <c r="O415">
        <v>3</v>
      </c>
    </row>
    <row r="416" spans="1:15">
      <c r="A416" s="8" t="s">
        <v>334</v>
      </c>
      <c r="B416" s="7" t="str">
        <f>VLOOKUP(A416,Combined!$A$1:$C$501,2,FALSE)</f>
        <v>S082</v>
      </c>
      <c r="C416" s="7" t="s">
        <v>22</v>
      </c>
      <c r="D416" s="7" t="str">
        <f>VLOOKUP(A416,Combined!$A$1:$C$501,3,FALSE)</f>
        <v>C008</v>
      </c>
      <c r="E416" t="str">
        <f>VLOOKUP(D416,Combined!$C$1:$H$501,6,FALSE)</f>
        <v>Structural Analysis</v>
      </c>
      <c r="F416">
        <f>VLOOKUP(D416,Combined!$C$1:$J$501,8,FALSE)</f>
        <v>4</v>
      </c>
      <c r="M416" t="s">
        <v>96</v>
      </c>
      <c r="O416">
        <v>22</v>
      </c>
    </row>
    <row r="417" spans="1:15">
      <c r="A417" s="8" t="s">
        <v>382</v>
      </c>
      <c r="B417" s="7" t="str">
        <f>VLOOKUP(A417,Combined!$A$1:$C$501,2,FALSE)</f>
        <v>S082</v>
      </c>
      <c r="C417" s="7" t="s">
        <v>22</v>
      </c>
      <c r="D417" s="7" t="str">
        <f>VLOOKUP(A417,Combined!$A$1:$C$501,3,FALSE)</f>
        <v>C007</v>
      </c>
      <c r="E417" t="str">
        <f>VLOOKUP(D417,Combined!$C$1:$H$501,6,FALSE)</f>
        <v>Digital Logic</v>
      </c>
      <c r="F417">
        <f>VLOOKUP(D417,Combined!$C$1:$J$501,8,FALSE)</f>
        <v>3</v>
      </c>
      <c r="N417" t="s">
        <v>247</v>
      </c>
      <c r="O417">
        <v>4</v>
      </c>
    </row>
    <row r="418" spans="1:15">
      <c r="A418" s="9" t="s">
        <v>401</v>
      </c>
      <c r="B418" s="7" t="str">
        <f>VLOOKUP(A418,Combined!$A$1:$C$501,2,FALSE)</f>
        <v>S082</v>
      </c>
      <c r="C418" s="7" t="s">
        <v>22</v>
      </c>
      <c r="D418" s="7" t="str">
        <f>VLOOKUP(A418,Combined!$A$1:$C$501,3,FALSE)</f>
        <v>C006</v>
      </c>
      <c r="E418" t="str">
        <f>VLOOKUP(D418,Combined!$C$1:$H$501,6,FALSE)</f>
        <v>Fluid Mechanics</v>
      </c>
      <c r="F418">
        <f>VLOOKUP(D418,Combined!$C$1:$J$501,8,FALSE)</f>
        <v>4</v>
      </c>
      <c r="N418" t="s">
        <v>250</v>
      </c>
      <c r="O418">
        <v>4</v>
      </c>
    </row>
    <row r="419" spans="1:15">
      <c r="A419" s="8" t="s">
        <v>538</v>
      </c>
      <c r="B419" s="7" t="str">
        <f>VLOOKUP(A419,Combined!$A$1:$C$501,2,FALSE)</f>
        <v>S082</v>
      </c>
      <c r="C419" s="7" t="s">
        <v>22</v>
      </c>
      <c r="D419" s="7" t="str">
        <f>VLOOKUP(A419,Combined!$A$1:$C$501,3,FALSE)</f>
        <v>C010</v>
      </c>
      <c r="E419" t="str">
        <f>VLOOKUP(D419,Combined!$C$1:$H$501,6,FALSE)</f>
        <v>Finance</v>
      </c>
      <c r="F419">
        <f>VLOOKUP(D419,Combined!$C$1:$J$501,8,FALSE)</f>
        <v>4</v>
      </c>
      <c r="N419" t="s">
        <v>555</v>
      </c>
      <c r="O419">
        <v>4</v>
      </c>
    </row>
    <row r="420" spans="1:15">
      <c r="A420" s="9" t="s">
        <v>663</v>
      </c>
      <c r="B420" s="7" t="str">
        <f>VLOOKUP(A420,Combined!$A$1:$C$501,2,FALSE)</f>
        <v>S082</v>
      </c>
      <c r="C420" s="7" t="s">
        <v>22</v>
      </c>
      <c r="D420" s="7" t="str">
        <f>VLOOKUP(A420,Combined!$A$1:$C$501,3,FALSE)</f>
        <v>C004</v>
      </c>
      <c r="E420" t="str">
        <f>VLOOKUP(D420,Combined!$C$1:$H$501,6,FALSE)</f>
        <v>Circuits</v>
      </c>
      <c r="F420">
        <f>VLOOKUP(D420,Combined!$C$1:$J$501,8,FALSE)</f>
        <v>4</v>
      </c>
      <c r="N420" t="s">
        <v>563</v>
      </c>
      <c r="O420">
        <v>3</v>
      </c>
    </row>
    <row r="421" spans="1:15">
      <c r="A421" s="9" t="s">
        <v>212</v>
      </c>
      <c r="B421" s="7" t="str">
        <f>VLOOKUP(A421,Combined!$A$1:$C$501,2,FALSE)</f>
        <v>S083</v>
      </c>
      <c r="C421" s="7" t="s">
        <v>67</v>
      </c>
      <c r="D421" s="7" t="str">
        <f>VLOOKUP(A421,Combined!$A$1:$C$501,3,FALSE)</f>
        <v>C009</v>
      </c>
      <c r="E421" t="str">
        <f>VLOOKUP(D421,Combined!$C$1:$H$501,6,FALSE)</f>
        <v>Marketing</v>
      </c>
      <c r="F421">
        <f>VLOOKUP(D421,Combined!$C$1:$J$501,8,FALSE)</f>
        <v>3</v>
      </c>
      <c r="N421" t="s">
        <v>651</v>
      </c>
      <c r="O421">
        <v>4</v>
      </c>
    </row>
    <row r="422" spans="1:15">
      <c r="A422" s="9" t="s">
        <v>323</v>
      </c>
      <c r="B422" s="7" t="str">
        <f>VLOOKUP(A422,Combined!$A$1:$C$501,2,FALSE)</f>
        <v>S083</v>
      </c>
      <c r="C422" s="7" t="s">
        <v>67</v>
      </c>
      <c r="D422" s="7" t="str">
        <f>VLOOKUP(A422,Combined!$A$1:$C$501,3,FALSE)</f>
        <v>C003</v>
      </c>
      <c r="E422" t="str">
        <f>VLOOKUP(D422,Combined!$C$1:$H$501,6,FALSE)</f>
        <v>Thermodynamics</v>
      </c>
      <c r="F422">
        <f>VLOOKUP(D422,Combined!$C$1:$J$501,8,FALSE)</f>
        <v>3</v>
      </c>
      <c r="N422" t="s">
        <v>704</v>
      </c>
      <c r="O422">
        <v>3</v>
      </c>
    </row>
    <row r="423" spans="1:15">
      <c r="A423" s="9" t="s">
        <v>415</v>
      </c>
      <c r="B423" s="7" t="str">
        <f>VLOOKUP(A423,Combined!$A$1:$C$501,2,FALSE)</f>
        <v>S083</v>
      </c>
      <c r="C423" s="7" t="s">
        <v>67</v>
      </c>
      <c r="D423" s="7" t="str">
        <f>VLOOKUP(A423,Combined!$A$1:$C$501,3,FALSE)</f>
        <v>C010</v>
      </c>
      <c r="E423" t="str">
        <f>VLOOKUP(D423,Combined!$C$1:$H$501,6,FALSE)</f>
        <v>Finance</v>
      </c>
      <c r="F423">
        <f>VLOOKUP(D423,Combined!$C$1:$J$501,8,FALSE)</f>
        <v>4</v>
      </c>
      <c r="M423" t="s">
        <v>97</v>
      </c>
      <c r="O423">
        <v>17</v>
      </c>
    </row>
    <row r="424" spans="1:15">
      <c r="A424" s="8" t="s">
        <v>428</v>
      </c>
      <c r="B424" s="7" t="str">
        <f>VLOOKUP(A424,Combined!$A$1:$C$501,2,FALSE)</f>
        <v>S083</v>
      </c>
      <c r="C424" s="7" t="s">
        <v>67</v>
      </c>
      <c r="D424" s="7" t="str">
        <f>VLOOKUP(A424,Combined!$A$1:$C$501,3,FALSE)</f>
        <v>C001</v>
      </c>
      <c r="E424" t="str">
        <f>VLOOKUP(D424,Combined!$C$1:$H$501,6,FALSE)</f>
        <v>Data Structures</v>
      </c>
      <c r="F424">
        <f>VLOOKUP(D424,Combined!$C$1:$J$501,8,FALSE)</f>
        <v>3</v>
      </c>
      <c r="N424" t="s">
        <v>226</v>
      </c>
      <c r="O424">
        <v>3</v>
      </c>
    </row>
    <row r="425" spans="1:15">
      <c r="A425" s="8" t="s">
        <v>550</v>
      </c>
      <c r="B425" s="7" t="str">
        <f>VLOOKUP(A425,Combined!$A$1:$C$501,2,FALSE)</f>
        <v>S083</v>
      </c>
      <c r="C425" s="7" t="s">
        <v>67</v>
      </c>
      <c r="D425" s="7" t="str">
        <f>VLOOKUP(A425,Combined!$A$1:$C$501,3,FALSE)</f>
        <v>C003</v>
      </c>
      <c r="E425" t="str">
        <f>VLOOKUP(D425,Combined!$C$1:$H$501,6,FALSE)</f>
        <v>Thermodynamics</v>
      </c>
      <c r="F425">
        <f>VLOOKUP(D425,Combined!$C$1:$J$501,8,FALSE)</f>
        <v>3</v>
      </c>
      <c r="N425" t="s">
        <v>242</v>
      </c>
      <c r="O425">
        <v>4</v>
      </c>
    </row>
    <row r="426" spans="1:15">
      <c r="A426" s="8" t="s">
        <v>668</v>
      </c>
      <c r="B426" s="7" t="str">
        <f>VLOOKUP(A426,Combined!$A$1:$C$501,2,FALSE)</f>
        <v>S083</v>
      </c>
      <c r="C426" s="7" t="s">
        <v>67</v>
      </c>
      <c r="D426" s="7" t="str">
        <f>VLOOKUP(A426,Combined!$A$1:$C$501,3,FALSE)</f>
        <v>C001</v>
      </c>
      <c r="E426" t="str">
        <f>VLOOKUP(D426,Combined!$C$1:$H$501,6,FALSE)</f>
        <v>Data Structures</v>
      </c>
      <c r="F426">
        <f>VLOOKUP(D426,Combined!$C$1:$J$501,8,FALSE)</f>
        <v>3</v>
      </c>
      <c r="N426" t="s">
        <v>293</v>
      </c>
      <c r="O426">
        <v>3</v>
      </c>
    </row>
    <row r="427" spans="1:15">
      <c r="A427" s="8" t="s">
        <v>576</v>
      </c>
      <c r="B427" s="7" t="str">
        <f>VLOOKUP(A427,Combined!$A$1:$C$501,2,FALSE)</f>
        <v>S084</v>
      </c>
      <c r="C427" s="7" t="s">
        <v>22</v>
      </c>
      <c r="D427" s="7" t="str">
        <f>VLOOKUP(A427,Combined!$A$1:$C$501,3,FALSE)</f>
        <v>C005</v>
      </c>
      <c r="E427" t="str">
        <f>VLOOKUP(D427,Combined!$C$1:$H$501,6,FALSE)</f>
        <v>AI &amp; ML</v>
      </c>
      <c r="F427">
        <f>VLOOKUP(D427,Combined!$C$1:$J$501,8,FALSE)</f>
        <v>3</v>
      </c>
      <c r="N427" t="s">
        <v>524</v>
      </c>
      <c r="O427">
        <v>4</v>
      </c>
    </row>
    <row r="428" spans="1:15">
      <c r="A428" s="9" t="s">
        <v>685</v>
      </c>
      <c r="B428" s="7" t="str">
        <f>VLOOKUP(A428,Combined!$A$1:$C$501,2,FALSE)</f>
        <v>S084</v>
      </c>
      <c r="C428" s="7" t="s">
        <v>22</v>
      </c>
      <c r="D428" s="7" t="str">
        <f>VLOOKUP(A428,Combined!$A$1:$C$501,3,FALSE)</f>
        <v>C006</v>
      </c>
      <c r="E428" t="str">
        <f>VLOOKUP(D428,Combined!$C$1:$H$501,6,FALSE)</f>
        <v>Fluid Mechanics</v>
      </c>
      <c r="F428">
        <f>VLOOKUP(D428,Combined!$C$1:$J$501,8,FALSE)</f>
        <v>4</v>
      </c>
      <c r="N428" t="s">
        <v>695</v>
      </c>
      <c r="O428">
        <v>3</v>
      </c>
    </row>
    <row r="429" spans="1:15">
      <c r="A429" s="8" t="s">
        <v>276</v>
      </c>
      <c r="B429" s="7" t="str">
        <f>VLOOKUP(A429,Combined!$A$1:$C$501,2,FALSE)</f>
        <v>S085</v>
      </c>
      <c r="C429" s="7" t="s">
        <v>75</v>
      </c>
      <c r="D429" s="7" t="str">
        <f>VLOOKUP(A429,Combined!$A$1:$C$501,3,FALSE)</f>
        <v>C006</v>
      </c>
      <c r="E429" t="str">
        <f>VLOOKUP(D429,Combined!$C$1:$H$501,6,FALSE)</f>
        <v>Fluid Mechanics</v>
      </c>
      <c r="F429">
        <f>VLOOKUP(D429,Combined!$C$1:$J$501,8,FALSE)</f>
        <v>4</v>
      </c>
      <c r="M429" t="s">
        <v>98</v>
      </c>
      <c r="O429">
        <v>27</v>
      </c>
    </row>
    <row r="430" spans="1:15">
      <c r="A430" s="8" t="s">
        <v>292</v>
      </c>
      <c r="B430" s="7" t="str">
        <f>VLOOKUP(A430,Combined!$A$1:$C$501,2,FALSE)</f>
        <v>S085</v>
      </c>
      <c r="C430" s="7" t="s">
        <v>75</v>
      </c>
      <c r="D430" s="7" t="str">
        <f>VLOOKUP(A430,Combined!$A$1:$C$501,3,FALSE)</f>
        <v>C010</v>
      </c>
      <c r="E430" t="str">
        <f>VLOOKUP(D430,Combined!$C$1:$H$501,6,FALSE)</f>
        <v>Finance</v>
      </c>
      <c r="F430">
        <f>VLOOKUP(D430,Combined!$C$1:$J$501,8,FALSE)</f>
        <v>4</v>
      </c>
      <c r="N430" t="s">
        <v>239</v>
      </c>
      <c r="O430">
        <v>4</v>
      </c>
    </row>
    <row r="431" spans="1:15">
      <c r="A431" s="9" t="s">
        <v>341</v>
      </c>
      <c r="B431" s="7" t="str">
        <f>VLOOKUP(A431,Combined!$A$1:$C$501,2,FALSE)</f>
        <v>S085</v>
      </c>
      <c r="C431" s="7" t="s">
        <v>75</v>
      </c>
      <c r="D431" s="7" t="str">
        <f>VLOOKUP(A431,Combined!$A$1:$C$501,3,FALSE)</f>
        <v>C009</v>
      </c>
      <c r="E431" t="str">
        <f>VLOOKUP(D431,Combined!$C$1:$H$501,6,FALSE)</f>
        <v>Marketing</v>
      </c>
      <c r="F431">
        <f>VLOOKUP(D431,Combined!$C$1:$J$501,8,FALSE)</f>
        <v>3</v>
      </c>
      <c r="N431" t="s">
        <v>287</v>
      </c>
      <c r="O431">
        <v>3</v>
      </c>
    </row>
    <row r="432" spans="1:15">
      <c r="A432" s="8" t="s">
        <v>386</v>
      </c>
      <c r="B432" s="7" t="str">
        <f>VLOOKUP(A432,Combined!$A$1:$C$501,2,FALSE)</f>
        <v>S085</v>
      </c>
      <c r="C432" s="7" t="s">
        <v>75</v>
      </c>
      <c r="D432" s="7" t="str">
        <f>VLOOKUP(A432,Combined!$A$1:$C$501,3,FALSE)</f>
        <v>C007</v>
      </c>
      <c r="E432" t="str">
        <f>VLOOKUP(D432,Combined!$C$1:$H$501,6,FALSE)</f>
        <v>Digital Logic</v>
      </c>
      <c r="F432">
        <f>VLOOKUP(D432,Combined!$C$1:$J$501,8,FALSE)</f>
        <v>3</v>
      </c>
      <c r="N432" t="s">
        <v>289</v>
      </c>
      <c r="O432">
        <v>4</v>
      </c>
    </row>
    <row r="433" spans="1:15">
      <c r="A433" s="8" t="s">
        <v>448</v>
      </c>
      <c r="B433" s="7" t="str">
        <f>VLOOKUP(A433,Combined!$A$1:$C$501,2,FALSE)</f>
        <v>S085</v>
      </c>
      <c r="C433" s="7" t="s">
        <v>75</v>
      </c>
      <c r="D433" s="7" t="str">
        <f>VLOOKUP(A433,Combined!$A$1:$C$501,3,FALSE)</f>
        <v>C008</v>
      </c>
      <c r="E433" t="str">
        <f>VLOOKUP(D433,Combined!$C$1:$H$501,6,FALSE)</f>
        <v>Structural Analysis</v>
      </c>
      <c r="F433">
        <f>VLOOKUP(D433,Combined!$C$1:$J$501,8,FALSE)</f>
        <v>4</v>
      </c>
      <c r="N433" t="s">
        <v>398</v>
      </c>
      <c r="O433">
        <v>4</v>
      </c>
    </row>
    <row r="434" spans="1:15">
      <c r="A434" s="9" t="s">
        <v>461</v>
      </c>
      <c r="B434" s="7" t="str">
        <f>VLOOKUP(A434,Combined!$A$1:$C$501,2,FALSE)</f>
        <v>S085</v>
      </c>
      <c r="C434" s="7" t="s">
        <v>75</v>
      </c>
      <c r="D434" s="7" t="str">
        <f>VLOOKUP(A434,Combined!$A$1:$C$501,3,FALSE)</f>
        <v>C007</v>
      </c>
      <c r="E434" t="str">
        <f>VLOOKUP(D434,Combined!$C$1:$H$501,6,FALSE)</f>
        <v>Digital Logic</v>
      </c>
      <c r="F434">
        <f>VLOOKUP(D434,Combined!$C$1:$J$501,8,FALSE)</f>
        <v>3</v>
      </c>
      <c r="N434" t="s">
        <v>578</v>
      </c>
      <c r="O434">
        <v>4</v>
      </c>
    </row>
    <row r="435" spans="1:15">
      <c r="A435" s="8" t="s">
        <v>514</v>
      </c>
      <c r="B435" s="7" t="str">
        <f>VLOOKUP(A435,Combined!$A$1:$C$501,2,FALSE)</f>
        <v>S085</v>
      </c>
      <c r="C435" s="7" t="s">
        <v>75</v>
      </c>
      <c r="D435" s="7" t="str">
        <f>VLOOKUP(A435,Combined!$A$1:$C$501,3,FALSE)</f>
        <v>C006</v>
      </c>
      <c r="E435" t="str">
        <f>VLOOKUP(D435,Combined!$C$1:$H$501,6,FALSE)</f>
        <v>Fluid Mechanics</v>
      </c>
      <c r="F435">
        <f>VLOOKUP(D435,Combined!$C$1:$J$501,8,FALSE)</f>
        <v>4</v>
      </c>
      <c r="N435" t="s">
        <v>630</v>
      </c>
      <c r="O435">
        <v>4</v>
      </c>
    </row>
    <row r="436" spans="1:15">
      <c r="A436" s="9" t="s">
        <v>199</v>
      </c>
      <c r="B436" s="7" t="str">
        <f>VLOOKUP(A436,Combined!$A$1:$C$501,2,FALSE)</f>
        <v>S086</v>
      </c>
      <c r="C436" s="7" t="s">
        <v>22</v>
      </c>
      <c r="D436" s="7" t="str">
        <f>VLOOKUP(A436,Combined!$A$1:$C$501,3,FALSE)</f>
        <v>C004</v>
      </c>
      <c r="E436" t="str">
        <f>VLOOKUP(D436,Combined!$C$1:$H$501,6,FALSE)</f>
        <v>Circuits</v>
      </c>
      <c r="F436">
        <f>VLOOKUP(D436,Combined!$C$1:$J$501,8,FALSE)</f>
        <v>4</v>
      </c>
      <c r="N436" t="s">
        <v>649</v>
      </c>
      <c r="O436">
        <v>4</v>
      </c>
    </row>
    <row r="437" spans="1:15">
      <c r="A437" s="9" t="s">
        <v>257</v>
      </c>
      <c r="B437" s="7" t="str">
        <f>VLOOKUP(A437,Combined!$A$1:$C$501,2,FALSE)</f>
        <v>S086</v>
      </c>
      <c r="C437" s="7" t="s">
        <v>22</v>
      </c>
      <c r="D437" s="7" t="str">
        <f>VLOOKUP(A437,Combined!$A$1:$C$501,3,FALSE)</f>
        <v>C007</v>
      </c>
      <c r="E437" t="str">
        <f>VLOOKUP(D437,Combined!$C$1:$H$501,6,FALSE)</f>
        <v>Digital Logic</v>
      </c>
      <c r="F437">
        <f>VLOOKUP(D437,Combined!$C$1:$J$501,8,FALSE)</f>
        <v>3</v>
      </c>
      <c r="M437" t="s">
        <v>99</v>
      </c>
      <c r="O437">
        <v>16</v>
      </c>
    </row>
    <row r="438" spans="1:15">
      <c r="A438" s="8" t="s">
        <v>336</v>
      </c>
      <c r="B438" s="7" t="str">
        <f>VLOOKUP(A438,Combined!$A$1:$C$501,2,FALSE)</f>
        <v>S086</v>
      </c>
      <c r="C438" s="7" t="s">
        <v>22</v>
      </c>
      <c r="D438" s="7" t="str">
        <f>VLOOKUP(A438,Combined!$A$1:$C$501,3,FALSE)</f>
        <v>C002</v>
      </c>
      <c r="E438" t="str">
        <f>VLOOKUP(D438,Combined!$C$1:$H$501,6,FALSE)</f>
        <v>DBMS</v>
      </c>
      <c r="F438">
        <f>VLOOKUP(D438,Combined!$C$1:$J$501,8,FALSE)</f>
        <v>4</v>
      </c>
      <c r="N438" t="s">
        <v>269</v>
      </c>
      <c r="O438">
        <v>4</v>
      </c>
    </row>
    <row r="439" spans="1:15">
      <c r="A439" s="8" t="s">
        <v>444</v>
      </c>
      <c r="B439" s="7" t="str">
        <f>VLOOKUP(A439,Combined!$A$1:$C$501,2,FALSE)</f>
        <v>S086</v>
      </c>
      <c r="C439" s="7" t="s">
        <v>22</v>
      </c>
      <c r="D439" s="7" t="str">
        <f>VLOOKUP(A439,Combined!$A$1:$C$501,3,FALSE)</f>
        <v>C002</v>
      </c>
      <c r="E439" t="str">
        <f>VLOOKUP(D439,Combined!$C$1:$H$501,6,FALSE)</f>
        <v>DBMS</v>
      </c>
      <c r="F439">
        <f>VLOOKUP(D439,Combined!$C$1:$J$501,8,FALSE)</f>
        <v>4</v>
      </c>
      <c r="N439" t="s">
        <v>275</v>
      </c>
      <c r="O439">
        <v>3</v>
      </c>
    </row>
    <row r="440" spans="1:15">
      <c r="A440" s="9" t="s">
        <v>445</v>
      </c>
      <c r="B440" s="7" t="str">
        <f>VLOOKUP(A440,Combined!$A$1:$C$501,2,FALSE)</f>
        <v>S086</v>
      </c>
      <c r="C440" s="7" t="s">
        <v>22</v>
      </c>
      <c r="D440" s="7" t="str">
        <f>VLOOKUP(A440,Combined!$A$1:$C$501,3,FALSE)</f>
        <v>C007</v>
      </c>
      <c r="E440" t="str">
        <f>VLOOKUP(D440,Combined!$C$1:$H$501,6,FALSE)</f>
        <v>Digital Logic</v>
      </c>
      <c r="F440">
        <f>VLOOKUP(D440,Combined!$C$1:$J$501,8,FALSE)</f>
        <v>3</v>
      </c>
      <c r="N440" t="s">
        <v>310</v>
      </c>
      <c r="O440">
        <v>3</v>
      </c>
    </row>
    <row r="441" spans="1:15">
      <c r="A441" s="9" t="s">
        <v>583</v>
      </c>
      <c r="B441" s="7" t="str">
        <f>VLOOKUP(A441,Combined!$A$1:$C$501,2,FALSE)</f>
        <v>S086</v>
      </c>
      <c r="C441" s="7" t="s">
        <v>22</v>
      </c>
      <c r="D441" s="7" t="str">
        <f>VLOOKUP(A441,Combined!$A$1:$C$501,3,FALSE)</f>
        <v>C006</v>
      </c>
      <c r="E441" t="str">
        <f>VLOOKUP(D441,Combined!$C$1:$H$501,6,FALSE)</f>
        <v>Fluid Mechanics</v>
      </c>
      <c r="F441">
        <f>VLOOKUP(D441,Combined!$C$1:$J$501,8,FALSE)</f>
        <v>4</v>
      </c>
      <c r="N441" t="s">
        <v>387</v>
      </c>
      <c r="O441">
        <v>3</v>
      </c>
    </row>
    <row r="442" spans="1:15">
      <c r="A442" s="8" t="s">
        <v>680</v>
      </c>
      <c r="B442" s="7" t="str">
        <f>VLOOKUP(A442,Combined!$A$1:$C$501,2,FALSE)</f>
        <v>S086</v>
      </c>
      <c r="C442" s="7" t="s">
        <v>22</v>
      </c>
      <c r="D442" s="7" t="str">
        <f>VLOOKUP(A442,Combined!$A$1:$C$501,3,FALSE)</f>
        <v>C002</v>
      </c>
      <c r="E442" t="str">
        <f>VLOOKUP(D442,Combined!$C$1:$H$501,6,FALSE)</f>
        <v>DBMS</v>
      </c>
      <c r="F442">
        <f>VLOOKUP(D442,Combined!$C$1:$J$501,8,FALSE)</f>
        <v>4</v>
      </c>
      <c r="N442" t="s">
        <v>602</v>
      </c>
      <c r="O442">
        <v>3</v>
      </c>
    </row>
    <row r="443" spans="1:15">
      <c r="A443" s="8" t="s">
        <v>686</v>
      </c>
      <c r="B443" s="7" t="str">
        <f>VLOOKUP(A443,Combined!$A$1:$C$501,2,FALSE)</f>
        <v>S086</v>
      </c>
      <c r="C443" s="7" t="s">
        <v>22</v>
      </c>
      <c r="D443" s="7" t="str">
        <f>VLOOKUP(A443,Combined!$A$1:$C$501,3,FALSE)</f>
        <v>C002</v>
      </c>
      <c r="E443" t="str">
        <f>VLOOKUP(D443,Combined!$C$1:$H$501,6,FALSE)</f>
        <v>DBMS</v>
      </c>
      <c r="F443">
        <f>VLOOKUP(D443,Combined!$C$1:$J$501,8,FALSE)</f>
        <v>4</v>
      </c>
      <c r="M443" t="s">
        <v>100</v>
      </c>
      <c r="O443">
        <v>18</v>
      </c>
    </row>
    <row r="444" spans="1:15">
      <c r="A444" s="9" t="s">
        <v>367</v>
      </c>
      <c r="B444" s="7" t="str">
        <f>VLOOKUP(A444,Combined!$A$1:$C$501,2,FALSE)</f>
        <v>S087</v>
      </c>
      <c r="C444" s="7" t="s">
        <v>6</v>
      </c>
      <c r="D444" s="7" t="str">
        <f>VLOOKUP(A444,Combined!$A$1:$C$501,3,FALSE)</f>
        <v>C009</v>
      </c>
      <c r="E444" t="str">
        <f>VLOOKUP(D444,Combined!$C$1:$H$501,6,FALSE)</f>
        <v>Marketing</v>
      </c>
      <c r="F444">
        <f>VLOOKUP(D444,Combined!$C$1:$J$501,8,FALSE)</f>
        <v>3</v>
      </c>
      <c r="N444" t="s">
        <v>309</v>
      </c>
      <c r="O444">
        <v>3</v>
      </c>
    </row>
    <row r="445" spans="1:15">
      <c r="A445" s="8" t="s">
        <v>380</v>
      </c>
      <c r="B445" s="7" t="str">
        <f>VLOOKUP(A445,Combined!$A$1:$C$501,2,FALSE)</f>
        <v>S087</v>
      </c>
      <c r="C445" s="7" t="s">
        <v>6</v>
      </c>
      <c r="D445" s="7" t="str">
        <f>VLOOKUP(A445,Combined!$A$1:$C$501,3,FALSE)</f>
        <v>C009</v>
      </c>
      <c r="E445" t="str">
        <f>VLOOKUP(D445,Combined!$C$1:$H$501,6,FALSE)</f>
        <v>Marketing</v>
      </c>
      <c r="F445">
        <f>VLOOKUP(D445,Combined!$C$1:$J$501,8,FALSE)</f>
        <v>3</v>
      </c>
      <c r="N445" t="s">
        <v>359</v>
      </c>
      <c r="O445">
        <v>3</v>
      </c>
    </row>
    <row r="446" spans="1:15">
      <c r="A446" s="8" t="s">
        <v>390</v>
      </c>
      <c r="B446" s="7" t="str">
        <f>VLOOKUP(A446,Combined!$A$1:$C$501,2,FALSE)</f>
        <v>S087</v>
      </c>
      <c r="C446" s="7" t="s">
        <v>6</v>
      </c>
      <c r="D446" s="7" t="str">
        <f>VLOOKUP(A446,Combined!$A$1:$C$501,3,FALSE)</f>
        <v>C003</v>
      </c>
      <c r="E446" t="str">
        <f>VLOOKUP(D446,Combined!$C$1:$H$501,6,FALSE)</f>
        <v>Thermodynamics</v>
      </c>
      <c r="F446">
        <f>VLOOKUP(D446,Combined!$C$1:$J$501,8,FALSE)</f>
        <v>3</v>
      </c>
      <c r="N446" t="s">
        <v>385</v>
      </c>
      <c r="O446">
        <v>3</v>
      </c>
    </row>
    <row r="447" spans="1:15">
      <c r="A447" s="8" t="s">
        <v>460</v>
      </c>
      <c r="B447" s="7" t="str">
        <f>VLOOKUP(A447,Combined!$A$1:$C$501,2,FALSE)</f>
        <v>S087</v>
      </c>
      <c r="C447" s="7" t="s">
        <v>6</v>
      </c>
      <c r="D447" s="7" t="str">
        <f>VLOOKUP(A447,Combined!$A$1:$C$501,3,FALSE)</f>
        <v>C002</v>
      </c>
      <c r="E447" t="str">
        <f>VLOOKUP(D447,Combined!$C$1:$H$501,6,FALSE)</f>
        <v>DBMS</v>
      </c>
      <c r="F447">
        <f>VLOOKUP(D447,Combined!$C$1:$J$501,8,FALSE)</f>
        <v>4</v>
      </c>
      <c r="N447" t="s">
        <v>447</v>
      </c>
      <c r="O447">
        <v>3</v>
      </c>
    </row>
    <row r="448" spans="1:15">
      <c r="A448" s="8" t="s">
        <v>464</v>
      </c>
      <c r="B448" s="7" t="str">
        <f>VLOOKUP(A448,Combined!$A$1:$C$501,2,FALSE)</f>
        <v>S087</v>
      </c>
      <c r="C448" s="7" t="s">
        <v>6</v>
      </c>
      <c r="D448" s="7" t="str">
        <f>VLOOKUP(A448,Combined!$A$1:$C$501,3,FALSE)</f>
        <v>C010</v>
      </c>
      <c r="E448" t="str">
        <f>VLOOKUP(D448,Combined!$C$1:$H$501,6,FALSE)</f>
        <v>Finance</v>
      </c>
      <c r="F448">
        <f>VLOOKUP(D448,Combined!$C$1:$J$501,8,FALSE)</f>
        <v>4</v>
      </c>
      <c r="N448" t="s">
        <v>473</v>
      </c>
      <c r="O448">
        <v>3</v>
      </c>
    </row>
    <row r="449" spans="1:15">
      <c r="A449" s="9" t="s">
        <v>701</v>
      </c>
      <c r="B449" s="7" t="str">
        <f>VLOOKUP(A449,Combined!$A$1:$C$501,2,FALSE)</f>
        <v>S087</v>
      </c>
      <c r="C449" s="7" t="s">
        <v>6</v>
      </c>
      <c r="D449" s="7" t="str">
        <f>VLOOKUP(A449,Combined!$A$1:$C$501,3,FALSE)</f>
        <v>C005</v>
      </c>
      <c r="E449" t="str">
        <f>VLOOKUP(D449,Combined!$C$1:$H$501,6,FALSE)</f>
        <v>AI &amp; ML</v>
      </c>
      <c r="F449">
        <f>VLOOKUP(D449,Combined!$C$1:$J$501,8,FALSE)</f>
        <v>3</v>
      </c>
      <c r="N449" t="s">
        <v>543</v>
      </c>
      <c r="O449">
        <v>3</v>
      </c>
    </row>
    <row r="450" spans="1:15">
      <c r="A450" s="9" t="s">
        <v>321</v>
      </c>
      <c r="B450" s="7" t="str">
        <f>VLOOKUP(A450,Combined!$A$1:$C$501,2,FALSE)</f>
        <v>S088</v>
      </c>
      <c r="C450" s="7" t="s">
        <v>47</v>
      </c>
      <c r="D450" s="7" t="str">
        <f>VLOOKUP(A450,Combined!$A$1:$C$501,3,FALSE)</f>
        <v>C004</v>
      </c>
      <c r="E450" t="str">
        <f>VLOOKUP(D450,Combined!$C$1:$H$501,6,FALSE)</f>
        <v>Circuits</v>
      </c>
      <c r="F450">
        <f>VLOOKUP(D450,Combined!$C$1:$J$501,8,FALSE)</f>
        <v>4</v>
      </c>
      <c r="M450" t="s">
        <v>101</v>
      </c>
      <c r="O450">
        <v>10</v>
      </c>
    </row>
    <row r="451" spans="1:15">
      <c r="A451" s="8" t="s">
        <v>440</v>
      </c>
      <c r="B451" s="7" t="str">
        <f>VLOOKUP(A451,Combined!$A$1:$C$501,2,FALSE)</f>
        <v>S088</v>
      </c>
      <c r="C451" s="7" t="s">
        <v>47</v>
      </c>
      <c r="D451" s="7" t="str">
        <f>VLOOKUP(A451,Combined!$A$1:$C$501,3,FALSE)</f>
        <v>C008</v>
      </c>
      <c r="E451" t="str">
        <f>VLOOKUP(D451,Combined!$C$1:$H$501,6,FALSE)</f>
        <v>Structural Analysis</v>
      </c>
      <c r="F451">
        <f>VLOOKUP(D451,Combined!$C$1:$J$501,8,FALSE)</f>
        <v>4</v>
      </c>
      <c r="N451" t="s">
        <v>214</v>
      </c>
      <c r="O451">
        <v>3</v>
      </c>
    </row>
    <row r="452" spans="1:15">
      <c r="A452" s="8" t="s">
        <v>486</v>
      </c>
      <c r="B452" s="7" t="str">
        <f>VLOOKUP(A452,Combined!$A$1:$C$501,2,FALSE)</f>
        <v>S088</v>
      </c>
      <c r="C452" s="7" t="s">
        <v>47</v>
      </c>
      <c r="D452" s="7" t="str">
        <f>VLOOKUP(A452,Combined!$A$1:$C$501,3,FALSE)</f>
        <v>C010</v>
      </c>
      <c r="E452" t="str">
        <f>VLOOKUP(D452,Combined!$C$1:$H$501,6,FALSE)</f>
        <v>Finance</v>
      </c>
      <c r="F452">
        <f>VLOOKUP(D452,Combined!$C$1:$J$501,8,FALSE)</f>
        <v>4</v>
      </c>
      <c r="N452" t="s">
        <v>272</v>
      </c>
      <c r="O452">
        <v>3</v>
      </c>
    </row>
    <row r="453" spans="1:15">
      <c r="A453" s="9" t="s">
        <v>665</v>
      </c>
      <c r="B453" s="7" t="str">
        <f>VLOOKUP(A453,Combined!$A$1:$C$501,2,FALSE)</f>
        <v>S088</v>
      </c>
      <c r="C453" s="7" t="s">
        <v>47</v>
      </c>
      <c r="D453" s="7" t="str">
        <f>VLOOKUP(A453,Combined!$A$1:$C$501,3,FALSE)</f>
        <v>C003</v>
      </c>
      <c r="E453" t="str">
        <f>VLOOKUP(D453,Combined!$C$1:$H$501,6,FALSE)</f>
        <v>Thermodynamics</v>
      </c>
      <c r="F453">
        <f>VLOOKUP(D453,Combined!$C$1:$J$501,8,FALSE)</f>
        <v>3</v>
      </c>
      <c r="N453" t="s">
        <v>684</v>
      </c>
      <c r="O453">
        <v>4</v>
      </c>
    </row>
    <row r="454" spans="1:15">
      <c r="A454" s="8" t="s">
        <v>372</v>
      </c>
      <c r="B454" s="7" t="str">
        <f>VLOOKUP(A454,Combined!$A$1:$C$501,2,FALSE)</f>
        <v>S089</v>
      </c>
      <c r="C454" s="7" t="s">
        <v>37</v>
      </c>
      <c r="D454" s="7" t="str">
        <f>VLOOKUP(A454,Combined!$A$1:$C$501,3,FALSE)</f>
        <v>C005</v>
      </c>
      <c r="E454" t="str">
        <f>VLOOKUP(D454,Combined!$C$1:$H$501,6,FALSE)</f>
        <v>AI &amp; ML</v>
      </c>
      <c r="F454">
        <f>VLOOKUP(D454,Combined!$C$1:$J$501,8,FALSE)</f>
        <v>3</v>
      </c>
      <c r="M454" t="s">
        <v>102</v>
      </c>
      <c r="O454">
        <v>6</v>
      </c>
    </row>
    <row r="455" spans="1:15">
      <c r="A455" s="8" t="s">
        <v>566</v>
      </c>
      <c r="B455" s="7" t="str">
        <f>VLOOKUP(A455,Combined!$A$1:$C$501,2,FALSE)</f>
        <v>S089</v>
      </c>
      <c r="C455" s="7" t="s">
        <v>37</v>
      </c>
      <c r="D455" s="7" t="str">
        <f>VLOOKUP(A455,Combined!$A$1:$C$501,3,FALSE)</f>
        <v>C008</v>
      </c>
      <c r="E455" t="str">
        <f>VLOOKUP(D455,Combined!$C$1:$H$501,6,FALSE)</f>
        <v>Structural Analysis</v>
      </c>
      <c r="F455">
        <f>VLOOKUP(D455,Combined!$C$1:$J$501,8,FALSE)</f>
        <v>4</v>
      </c>
      <c r="N455" t="s">
        <v>443</v>
      </c>
      <c r="O455">
        <v>3</v>
      </c>
    </row>
    <row r="456" spans="1:15">
      <c r="A456" s="8" t="s">
        <v>580</v>
      </c>
      <c r="B456" s="7" t="str">
        <f>VLOOKUP(A456,Combined!$A$1:$C$501,2,FALSE)</f>
        <v>S089</v>
      </c>
      <c r="C456" s="7" t="s">
        <v>37</v>
      </c>
      <c r="D456" s="7" t="str">
        <f>VLOOKUP(A456,Combined!$A$1:$C$501,3,FALSE)</f>
        <v>C008</v>
      </c>
      <c r="E456" t="str">
        <f>VLOOKUP(D456,Combined!$C$1:$H$501,6,FALSE)</f>
        <v>Structural Analysis</v>
      </c>
      <c r="F456">
        <f>VLOOKUP(D456,Combined!$C$1:$J$501,8,FALSE)</f>
        <v>4</v>
      </c>
      <c r="N456" t="s">
        <v>478</v>
      </c>
      <c r="O456">
        <v>3</v>
      </c>
    </row>
    <row r="457" spans="1:15">
      <c r="A457" s="8" t="s">
        <v>654</v>
      </c>
      <c r="B457" s="7" t="str">
        <f>VLOOKUP(A457,Combined!$A$1:$C$501,2,FALSE)</f>
        <v>S089</v>
      </c>
      <c r="C457" s="7" t="s">
        <v>37</v>
      </c>
      <c r="D457" s="7" t="str">
        <f>VLOOKUP(A457,Combined!$A$1:$C$501,3,FALSE)</f>
        <v>C008</v>
      </c>
      <c r="E457" t="str">
        <f>VLOOKUP(D457,Combined!$C$1:$H$501,6,FALSE)</f>
        <v>Structural Analysis</v>
      </c>
      <c r="F457">
        <f>VLOOKUP(D457,Combined!$C$1:$J$501,8,FALSE)</f>
        <v>4</v>
      </c>
      <c r="M457" t="s">
        <v>103</v>
      </c>
      <c r="O457">
        <v>21</v>
      </c>
    </row>
    <row r="458" spans="1:15">
      <c r="A458" s="8" t="s">
        <v>688</v>
      </c>
      <c r="B458" s="7" t="str">
        <f>VLOOKUP(A458,Combined!$A$1:$C$501,2,FALSE)</f>
        <v>S089</v>
      </c>
      <c r="C458" s="7" t="s">
        <v>37</v>
      </c>
      <c r="D458" s="7" t="str">
        <f>VLOOKUP(A458,Combined!$A$1:$C$501,3,FALSE)</f>
        <v>C002</v>
      </c>
      <c r="E458" t="str">
        <f>VLOOKUP(D458,Combined!$C$1:$H$501,6,FALSE)</f>
        <v>DBMS</v>
      </c>
      <c r="F458">
        <f>VLOOKUP(D458,Combined!$C$1:$J$501,8,FALSE)</f>
        <v>4</v>
      </c>
      <c r="N458" t="s">
        <v>216</v>
      </c>
      <c r="O458">
        <v>3</v>
      </c>
    </row>
    <row r="459" spans="1:15">
      <c r="A459" s="8" t="s">
        <v>202</v>
      </c>
      <c r="B459" s="7" t="str">
        <f>VLOOKUP(A459,Combined!$A$1:$C$501,2,FALSE)</f>
        <v>S090</v>
      </c>
      <c r="C459" s="7" t="s">
        <v>25</v>
      </c>
      <c r="D459" s="7" t="str">
        <f>VLOOKUP(A459,Combined!$A$1:$C$501,3,FALSE)</f>
        <v>C002</v>
      </c>
      <c r="E459" t="str">
        <f>VLOOKUP(D459,Combined!$C$1:$H$501,6,FALSE)</f>
        <v>DBMS</v>
      </c>
      <c r="F459">
        <f>VLOOKUP(D459,Combined!$C$1:$J$501,8,FALSE)</f>
        <v>4</v>
      </c>
      <c r="N459" t="s">
        <v>325</v>
      </c>
      <c r="O459">
        <v>4</v>
      </c>
    </row>
    <row r="460" spans="1:15">
      <c r="A460" s="8" t="s">
        <v>238</v>
      </c>
      <c r="B460" s="7" t="str">
        <f>VLOOKUP(A460,Combined!$A$1:$C$501,2,FALSE)</f>
        <v>S090</v>
      </c>
      <c r="C460" s="7" t="s">
        <v>25</v>
      </c>
      <c r="D460" s="7" t="str">
        <f>VLOOKUP(A460,Combined!$A$1:$C$501,3,FALSE)</f>
        <v>C009</v>
      </c>
      <c r="E460" t="str">
        <f>VLOOKUP(D460,Combined!$C$1:$H$501,6,FALSE)</f>
        <v>Marketing</v>
      </c>
      <c r="F460">
        <f>VLOOKUP(D460,Combined!$C$1:$J$501,8,FALSE)</f>
        <v>3</v>
      </c>
      <c r="N460" t="s">
        <v>446</v>
      </c>
      <c r="O460">
        <v>3</v>
      </c>
    </row>
    <row r="461" spans="1:15">
      <c r="A461" s="9" t="s">
        <v>295</v>
      </c>
      <c r="B461" s="7" t="str">
        <f>VLOOKUP(A461,Combined!$A$1:$C$501,2,FALSE)</f>
        <v>S090</v>
      </c>
      <c r="C461" s="7" t="s">
        <v>25</v>
      </c>
      <c r="D461" s="7" t="str">
        <f>VLOOKUP(A461,Combined!$A$1:$C$501,3,FALSE)</f>
        <v>C008</v>
      </c>
      <c r="E461" t="str">
        <f>VLOOKUP(D461,Combined!$C$1:$H$501,6,FALSE)</f>
        <v>Structural Analysis</v>
      </c>
      <c r="F461">
        <f>VLOOKUP(D461,Combined!$C$1:$J$501,8,FALSE)</f>
        <v>4</v>
      </c>
      <c r="N461" t="s">
        <v>515</v>
      </c>
      <c r="O461">
        <v>3</v>
      </c>
    </row>
    <row r="462" spans="1:15">
      <c r="A462" s="8" t="s">
        <v>304</v>
      </c>
      <c r="B462" s="7" t="str">
        <f>VLOOKUP(A462,Combined!$A$1:$C$501,2,FALSE)</f>
        <v>S090</v>
      </c>
      <c r="C462" s="7" t="s">
        <v>25</v>
      </c>
      <c r="D462" s="7" t="str">
        <f>VLOOKUP(A462,Combined!$A$1:$C$501,3,FALSE)</f>
        <v>C003</v>
      </c>
      <c r="E462" t="str">
        <f>VLOOKUP(D462,Combined!$C$1:$H$501,6,FALSE)</f>
        <v>Thermodynamics</v>
      </c>
      <c r="F462">
        <f>VLOOKUP(D462,Combined!$C$1:$J$501,8,FALSE)</f>
        <v>3</v>
      </c>
      <c r="N462" t="s">
        <v>622</v>
      </c>
      <c r="O462">
        <v>4</v>
      </c>
    </row>
    <row r="463" spans="1:15">
      <c r="A463" s="8" t="s">
        <v>404</v>
      </c>
      <c r="B463" s="7" t="str">
        <f>VLOOKUP(A463,Combined!$A$1:$C$501,2,FALSE)</f>
        <v>S090</v>
      </c>
      <c r="C463" s="7" t="s">
        <v>25</v>
      </c>
      <c r="D463" s="7" t="str">
        <f>VLOOKUP(A463,Combined!$A$1:$C$501,3,FALSE)</f>
        <v>C005</v>
      </c>
      <c r="E463" t="str">
        <f>VLOOKUP(D463,Combined!$C$1:$H$501,6,FALSE)</f>
        <v>AI &amp; ML</v>
      </c>
      <c r="F463">
        <f>VLOOKUP(D463,Combined!$C$1:$J$501,8,FALSE)</f>
        <v>3</v>
      </c>
      <c r="N463" t="s">
        <v>641</v>
      </c>
      <c r="O463">
        <v>4</v>
      </c>
    </row>
    <row r="464" spans="1:15">
      <c r="A464" s="9" t="s">
        <v>533</v>
      </c>
      <c r="B464" s="7" t="str">
        <f>VLOOKUP(A464,Combined!$A$1:$C$501,2,FALSE)</f>
        <v>S090</v>
      </c>
      <c r="C464" s="7" t="s">
        <v>25</v>
      </c>
      <c r="D464" s="7" t="str">
        <f>VLOOKUP(A464,Combined!$A$1:$C$501,3,FALSE)</f>
        <v>C003</v>
      </c>
      <c r="E464" t="str">
        <f>VLOOKUP(D464,Combined!$C$1:$H$501,6,FALSE)</f>
        <v>Thermodynamics</v>
      </c>
      <c r="F464">
        <f>VLOOKUP(D464,Combined!$C$1:$J$501,8,FALSE)</f>
        <v>3</v>
      </c>
      <c r="M464" t="s">
        <v>104</v>
      </c>
      <c r="O464">
        <v>19</v>
      </c>
    </row>
    <row r="465" spans="1:15">
      <c r="A465" s="8" t="s">
        <v>302</v>
      </c>
      <c r="B465" s="7" t="str">
        <f>VLOOKUP(A465,Combined!$A$1:$C$501,2,FALSE)</f>
        <v>S091</v>
      </c>
      <c r="C465" s="7" t="s">
        <v>67</v>
      </c>
      <c r="D465" s="7" t="str">
        <f>VLOOKUP(A465,Combined!$A$1:$C$501,3,FALSE)</f>
        <v>C009</v>
      </c>
      <c r="E465" t="str">
        <f>VLOOKUP(D465,Combined!$C$1:$H$501,6,FALSE)</f>
        <v>Marketing</v>
      </c>
      <c r="F465">
        <f>VLOOKUP(D465,Combined!$C$1:$J$501,8,FALSE)</f>
        <v>3</v>
      </c>
      <c r="N465" t="s">
        <v>452</v>
      </c>
      <c r="O465">
        <v>3</v>
      </c>
    </row>
    <row r="466" spans="1:15">
      <c r="A466" s="8" t="s">
        <v>320</v>
      </c>
      <c r="B466" s="7" t="str">
        <f>VLOOKUP(A466,Combined!$A$1:$C$501,2,FALSE)</f>
        <v>S091</v>
      </c>
      <c r="C466" s="7" t="s">
        <v>67</v>
      </c>
      <c r="D466" s="7" t="str">
        <f>VLOOKUP(A466,Combined!$A$1:$C$501,3,FALSE)</f>
        <v>C005</v>
      </c>
      <c r="E466" t="str">
        <f>VLOOKUP(D466,Combined!$C$1:$H$501,6,FALSE)</f>
        <v>AI &amp; ML</v>
      </c>
      <c r="F466">
        <f>VLOOKUP(D466,Combined!$C$1:$J$501,8,FALSE)</f>
        <v>3</v>
      </c>
      <c r="N466" t="s">
        <v>484</v>
      </c>
      <c r="O466">
        <v>3</v>
      </c>
    </row>
    <row r="467" spans="1:15">
      <c r="A467" s="8" t="s">
        <v>474</v>
      </c>
      <c r="B467" s="7" t="str">
        <f>VLOOKUP(A467,Combined!$A$1:$C$501,2,FALSE)</f>
        <v>S091</v>
      </c>
      <c r="C467" s="7" t="s">
        <v>67</v>
      </c>
      <c r="D467" s="7" t="str">
        <f>VLOOKUP(A467,Combined!$A$1:$C$501,3,FALSE)</f>
        <v>C007</v>
      </c>
      <c r="E467" t="str">
        <f>VLOOKUP(D467,Combined!$C$1:$H$501,6,FALSE)</f>
        <v>Digital Logic</v>
      </c>
      <c r="F467">
        <f>VLOOKUP(D467,Combined!$C$1:$J$501,8,FALSE)</f>
        <v>3</v>
      </c>
      <c r="N467" t="s">
        <v>495</v>
      </c>
      <c r="O467">
        <v>4</v>
      </c>
    </row>
    <row r="468" spans="1:15">
      <c r="A468" s="9" t="s">
        <v>579</v>
      </c>
      <c r="B468" s="7" t="str">
        <f>VLOOKUP(A468,Combined!$A$1:$C$501,2,FALSE)</f>
        <v>S091</v>
      </c>
      <c r="C468" s="7" t="s">
        <v>67</v>
      </c>
      <c r="D468" s="7" t="str">
        <f>VLOOKUP(A468,Combined!$A$1:$C$501,3,FALSE)</f>
        <v>C008</v>
      </c>
      <c r="E468" t="str">
        <f>VLOOKUP(D468,Combined!$C$1:$H$501,6,FALSE)</f>
        <v>Structural Analysis</v>
      </c>
      <c r="F468">
        <f>VLOOKUP(D468,Combined!$C$1:$J$501,8,FALSE)</f>
        <v>4</v>
      </c>
      <c r="N468" t="s">
        <v>573</v>
      </c>
      <c r="O468">
        <v>3</v>
      </c>
    </row>
    <row r="469" spans="1:15">
      <c r="A469" s="8" t="s">
        <v>638</v>
      </c>
      <c r="B469" s="7" t="str">
        <f>VLOOKUP(A469,Combined!$A$1:$C$501,2,FALSE)</f>
        <v>S091</v>
      </c>
      <c r="C469" s="7" t="s">
        <v>67</v>
      </c>
      <c r="D469" s="7" t="str">
        <f>VLOOKUP(A469,Combined!$A$1:$C$501,3,FALSE)</f>
        <v>C010</v>
      </c>
      <c r="E469" t="str">
        <f>VLOOKUP(D469,Combined!$C$1:$H$501,6,FALSE)</f>
        <v>Finance</v>
      </c>
      <c r="F469">
        <f>VLOOKUP(D469,Combined!$C$1:$J$501,8,FALSE)</f>
        <v>4</v>
      </c>
      <c r="N469" t="s">
        <v>631</v>
      </c>
      <c r="O469">
        <v>3</v>
      </c>
    </row>
    <row r="470" spans="1:15">
      <c r="A470" s="9" t="s">
        <v>235</v>
      </c>
      <c r="B470" s="7" t="str">
        <f>VLOOKUP(A470,Combined!$A$1:$C$501,2,FALSE)</f>
        <v>S092</v>
      </c>
      <c r="C470" s="7" t="s">
        <v>14</v>
      </c>
      <c r="D470" s="7" t="str">
        <f>VLOOKUP(A470,Combined!$A$1:$C$501,3,FALSE)</f>
        <v>C007</v>
      </c>
      <c r="E470" t="str">
        <f>VLOOKUP(D470,Combined!$C$1:$H$501,6,FALSE)</f>
        <v>Digital Logic</v>
      </c>
      <c r="F470">
        <f>VLOOKUP(D470,Combined!$C$1:$J$501,8,FALSE)</f>
        <v>3</v>
      </c>
      <c r="N470" t="s">
        <v>634</v>
      </c>
      <c r="O470">
        <v>3</v>
      </c>
    </row>
    <row r="471" spans="1:15">
      <c r="A471" s="8" t="s">
        <v>430</v>
      </c>
      <c r="B471" s="7" t="str">
        <f>VLOOKUP(A471,Combined!$A$1:$C$501,2,FALSE)</f>
        <v>S092</v>
      </c>
      <c r="C471" s="7" t="s">
        <v>14</v>
      </c>
      <c r="D471" s="7" t="str">
        <f>VLOOKUP(A471,Combined!$A$1:$C$501,3,FALSE)</f>
        <v>C008</v>
      </c>
      <c r="E471" t="str">
        <f>VLOOKUP(D471,Combined!$C$1:$H$501,6,FALSE)</f>
        <v>Structural Analysis</v>
      </c>
      <c r="F471">
        <f>VLOOKUP(D471,Combined!$C$1:$J$501,8,FALSE)</f>
        <v>4</v>
      </c>
      <c r="M471" t="s">
        <v>105</v>
      </c>
      <c r="O471">
        <v>32</v>
      </c>
    </row>
    <row r="472" spans="1:15">
      <c r="A472" s="9" t="s">
        <v>497</v>
      </c>
      <c r="B472" s="7" t="str">
        <f>VLOOKUP(A472,Combined!$A$1:$C$501,2,FALSE)</f>
        <v>S092</v>
      </c>
      <c r="C472" s="7" t="s">
        <v>14</v>
      </c>
      <c r="D472" s="7" t="str">
        <f>VLOOKUP(A472,Combined!$A$1:$C$501,3,FALSE)</f>
        <v>C002</v>
      </c>
      <c r="E472" t="str">
        <f>VLOOKUP(D472,Combined!$C$1:$H$501,6,FALSE)</f>
        <v>DBMS</v>
      </c>
      <c r="F472">
        <f>VLOOKUP(D472,Combined!$C$1:$J$501,8,FALSE)</f>
        <v>4</v>
      </c>
      <c r="N472" t="s">
        <v>225</v>
      </c>
      <c r="O472">
        <v>4</v>
      </c>
    </row>
    <row r="473" spans="1:15">
      <c r="A473" s="9" t="s">
        <v>541</v>
      </c>
      <c r="B473" s="7" t="str">
        <f>VLOOKUP(A473,Combined!$A$1:$C$501,2,FALSE)</f>
        <v>S092</v>
      </c>
      <c r="C473" s="7" t="s">
        <v>14</v>
      </c>
      <c r="D473" s="7" t="str">
        <f>VLOOKUP(A473,Combined!$A$1:$C$501,3,FALSE)</f>
        <v>C003</v>
      </c>
      <c r="E473" t="str">
        <f>VLOOKUP(D473,Combined!$C$1:$H$501,6,FALSE)</f>
        <v>Thermodynamics</v>
      </c>
      <c r="F473">
        <f>VLOOKUP(D473,Combined!$C$1:$J$501,8,FALSE)</f>
        <v>3</v>
      </c>
      <c r="N473" t="s">
        <v>280</v>
      </c>
      <c r="O473">
        <v>3</v>
      </c>
    </row>
    <row r="474" spans="1:15">
      <c r="A474" s="8" t="s">
        <v>552</v>
      </c>
      <c r="B474" s="7" t="str">
        <f>VLOOKUP(A474,Combined!$A$1:$C$501,2,FALSE)</f>
        <v>S092</v>
      </c>
      <c r="C474" s="7" t="s">
        <v>14</v>
      </c>
      <c r="D474" s="7" t="str">
        <f>VLOOKUP(A474,Combined!$A$1:$C$501,3,FALSE)</f>
        <v>C008</v>
      </c>
      <c r="E474" t="str">
        <f>VLOOKUP(D474,Combined!$C$1:$H$501,6,FALSE)</f>
        <v>Structural Analysis</v>
      </c>
      <c r="F474">
        <f>VLOOKUP(D474,Combined!$C$1:$J$501,8,FALSE)</f>
        <v>4</v>
      </c>
      <c r="N474" t="s">
        <v>315</v>
      </c>
      <c r="O474">
        <v>4</v>
      </c>
    </row>
    <row r="475" spans="1:15">
      <c r="A475" s="8" t="s">
        <v>582</v>
      </c>
      <c r="B475" s="7" t="str">
        <f>VLOOKUP(A475,Combined!$A$1:$C$501,2,FALSE)</f>
        <v>S092</v>
      </c>
      <c r="C475" s="7" t="s">
        <v>14</v>
      </c>
      <c r="D475" s="7" t="str">
        <f>VLOOKUP(A475,Combined!$A$1:$C$501,3,FALSE)</f>
        <v>C008</v>
      </c>
      <c r="E475" t="str">
        <f>VLOOKUP(D475,Combined!$C$1:$H$501,6,FALSE)</f>
        <v>Structural Analysis</v>
      </c>
      <c r="F475">
        <f>VLOOKUP(D475,Combined!$C$1:$J$501,8,FALSE)</f>
        <v>4</v>
      </c>
      <c r="N475" t="s">
        <v>403</v>
      </c>
      <c r="O475">
        <v>4</v>
      </c>
    </row>
    <row r="476" spans="1:15">
      <c r="A476" s="9" t="s">
        <v>299</v>
      </c>
      <c r="B476" s="7" t="str">
        <f>VLOOKUP(A476,Combined!$A$1:$C$501,2,FALSE)</f>
        <v>S093</v>
      </c>
      <c r="C476" s="7" t="s">
        <v>17</v>
      </c>
      <c r="D476" s="7" t="str">
        <f>VLOOKUP(A476,Combined!$A$1:$C$501,3,FALSE)</f>
        <v>C010</v>
      </c>
      <c r="E476" t="str">
        <f>VLOOKUP(D476,Combined!$C$1:$H$501,6,FALSE)</f>
        <v>Finance</v>
      </c>
      <c r="F476">
        <f>VLOOKUP(D476,Combined!$C$1:$J$501,8,FALSE)</f>
        <v>4</v>
      </c>
      <c r="N476" t="s">
        <v>534</v>
      </c>
      <c r="O476">
        <v>3</v>
      </c>
    </row>
    <row r="477" spans="1:15">
      <c r="A477" s="9" t="s">
        <v>355</v>
      </c>
      <c r="B477" s="7" t="str">
        <f>VLOOKUP(A477,Combined!$A$1:$C$501,2,FALSE)</f>
        <v>S093</v>
      </c>
      <c r="C477" s="7" t="s">
        <v>17</v>
      </c>
      <c r="D477" s="7" t="str">
        <f>VLOOKUP(A477,Combined!$A$1:$C$501,3,FALSE)</f>
        <v>C005</v>
      </c>
      <c r="E477" t="str">
        <f>VLOOKUP(D477,Combined!$C$1:$H$501,6,FALSE)</f>
        <v>AI &amp; ML</v>
      </c>
      <c r="F477">
        <f>VLOOKUP(D477,Combined!$C$1:$J$501,8,FALSE)</f>
        <v>3</v>
      </c>
      <c r="N477" t="s">
        <v>615</v>
      </c>
      <c r="O477">
        <v>3</v>
      </c>
    </row>
    <row r="478" spans="1:15">
      <c r="A478" s="8" t="s">
        <v>642</v>
      </c>
      <c r="B478" s="7" t="str">
        <f>VLOOKUP(A478,Combined!$A$1:$C$501,2,FALSE)</f>
        <v>S093</v>
      </c>
      <c r="C478" s="7" t="s">
        <v>17</v>
      </c>
      <c r="D478" s="7" t="str">
        <f>VLOOKUP(A478,Combined!$A$1:$C$501,3,FALSE)</f>
        <v>C001</v>
      </c>
      <c r="E478" t="str">
        <f>VLOOKUP(D478,Combined!$C$1:$H$501,6,FALSE)</f>
        <v>Data Structures</v>
      </c>
      <c r="F478">
        <f>VLOOKUP(D478,Combined!$C$1:$J$501,8,FALSE)</f>
        <v>3</v>
      </c>
      <c r="N478" t="s">
        <v>635</v>
      </c>
      <c r="O478">
        <v>4</v>
      </c>
    </row>
    <row r="479" spans="1:15">
      <c r="A479" s="8" t="s">
        <v>392</v>
      </c>
      <c r="B479" s="7" t="str">
        <f>VLOOKUP(A479,Combined!$A$1:$C$501,2,FALSE)</f>
        <v>S094</v>
      </c>
      <c r="C479" s="7" t="s">
        <v>17</v>
      </c>
      <c r="D479" s="7" t="str">
        <f>VLOOKUP(A479,Combined!$A$1:$C$501,3,FALSE)</f>
        <v>C003</v>
      </c>
      <c r="E479" t="str">
        <f>VLOOKUP(D479,Combined!$C$1:$H$501,6,FALSE)</f>
        <v>Thermodynamics</v>
      </c>
      <c r="F479">
        <f>VLOOKUP(D479,Combined!$C$1:$J$501,8,FALSE)</f>
        <v>3</v>
      </c>
      <c r="N479" t="s">
        <v>636</v>
      </c>
      <c r="O479">
        <v>3</v>
      </c>
    </row>
    <row r="480" spans="1:15">
      <c r="A480" s="9" t="s">
        <v>427</v>
      </c>
      <c r="B480" s="7" t="str">
        <f>VLOOKUP(A480,Combined!$A$1:$C$501,2,FALSE)</f>
        <v>S094</v>
      </c>
      <c r="C480" s="7" t="s">
        <v>17</v>
      </c>
      <c r="D480" s="7" t="str">
        <f>VLOOKUP(A480,Combined!$A$1:$C$501,3,FALSE)</f>
        <v>C009</v>
      </c>
      <c r="E480" t="str">
        <f>VLOOKUP(D480,Combined!$C$1:$H$501,6,FALSE)</f>
        <v>Marketing</v>
      </c>
      <c r="F480">
        <f>VLOOKUP(D480,Combined!$C$1:$J$501,8,FALSE)</f>
        <v>3</v>
      </c>
      <c r="N480" t="s">
        <v>689</v>
      </c>
      <c r="O480">
        <v>4</v>
      </c>
    </row>
    <row r="481" spans="1:15">
      <c r="A481" s="8" t="s">
        <v>438</v>
      </c>
      <c r="B481" s="7" t="str">
        <f>VLOOKUP(A481,Combined!$A$1:$C$501,2,FALSE)</f>
        <v>S094</v>
      </c>
      <c r="C481" s="7" t="s">
        <v>17</v>
      </c>
      <c r="D481" s="7" t="str">
        <f>VLOOKUP(A481,Combined!$A$1:$C$501,3,FALSE)</f>
        <v>C002</v>
      </c>
      <c r="E481" t="str">
        <f>VLOOKUP(D481,Combined!$C$1:$H$501,6,FALSE)</f>
        <v>DBMS</v>
      </c>
      <c r="F481">
        <f>VLOOKUP(D481,Combined!$C$1:$J$501,8,FALSE)</f>
        <v>4</v>
      </c>
      <c r="M481" t="s">
        <v>106</v>
      </c>
      <c r="O481">
        <v>27</v>
      </c>
    </row>
    <row r="482" spans="1:15">
      <c r="A482" s="8" t="s">
        <v>624</v>
      </c>
      <c r="B482" s="7" t="str">
        <f>VLOOKUP(A482,Combined!$A$1:$C$501,2,FALSE)</f>
        <v>S094</v>
      </c>
      <c r="C482" s="7" t="s">
        <v>17</v>
      </c>
      <c r="D482" s="7" t="str">
        <f>VLOOKUP(A482,Combined!$A$1:$C$501,3,FALSE)</f>
        <v>C006</v>
      </c>
      <c r="E482" t="str">
        <f>VLOOKUP(D482,Combined!$C$1:$H$501,6,FALSE)</f>
        <v>Fluid Mechanics</v>
      </c>
      <c r="F482">
        <f>VLOOKUP(D482,Combined!$C$1:$J$501,8,FALSE)</f>
        <v>4</v>
      </c>
      <c r="N482" t="s">
        <v>221</v>
      </c>
      <c r="O482">
        <v>4</v>
      </c>
    </row>
    <row r="483" spans="1:15">
      <c r="A483" s="8" t="s">
        <v>676</v>
      </c>
      <c r="B483" s="7" t="str">
        <f>VLOOKUP(A483,Combined!$A$1:$C$501,2,FALSE)</f>
        <v>S094</v>
      </c>
      <c r="C483" s="7" t="s">
        <v>17</v>
      </c>
      <c r="D483" s="7" t="str">
        <f>VLOOKUP(A483,Combined!$A$1:$C$501,3,FALSE)</f>
        <v>C008</v>
      </c>
      <c r="E483" t="str">
        <f>VLOOKUP(D483,Combined!$C$1:$H$501,6,FALSE)</f>
        <v>Structural Analysis</v>
      </c>
      <c r="F483">
        <f>VLOOKUP(D483,Combined!$C$1:$J$501,8,FALSE)</f>
        <v>4</v>
      </c>
      <c r="N483" t="s">
        <v>343</v>
      </c>
      <c r="O483">
        <v>4</v>
      </c>
    </row>
    <row r="484" spans="1:15">
      <c r="A484" s="8" t="s">
        <v>648</v>
      </c>
      <c r="B484" s="7" t="str">
        <f>VLOOKUP(A484,Combined!$A$1:$C$501,2,FALSE)</f>
        <v>S095</v>
      </c>
      <c r="C484" s="7" t="s">
        <v>14</v>
      </c>
      <c r="D484" s="7" t="str">
        <f>VLOOKUP(A484,Combined!$A$1:$C$501,3,FALSE)</f>
        <v>C001</v>
      </c>
      <c r="E484" t="str">
        <f>VLOOKUP(D484,Combined!$C$1:$H$501,6,FALSE)</f>
        <v>Data Structures</v>
      </c>
      <c r="F484">
        <f>VLOOKUP(D484,Combined!$C$1:$J$501,8,FALSE)</f>
        <v>3</v>
      </c>
      <c r="N484" t="s">
        <v>366</v>
      </c>
      <c r="O484">
        <v>3</v>
      </c>
    </row>
    <row r="485" spans="1:15">
      <c r="A485" s="9" t="s">
        <v>265</v>
      </c>
      <c r="B485" s="7" t="str">
        <f>VLOOKUP(A485,Combined!$A$1:$C$501,2,FALSE)</f>
        <v>S096</v>
      </c>
      <c r="C485" s="7" t="s">
        <v>47</v>
      </c>
      <c r="D485" s="7" t="str">
        <f>VLOOKUP(A485,Combined!$A$1:$C$501,3,FALSE)</f>
        <v>C009</v>
      </c>
      <c r="E485" t="str">
        <f>VLOOKUP(D485,Combined!$C$1:$H$501,6,FALSE)</f>
        <v>Marketing</v>
      </c>
      <c r="F485">
        <f>VLOOKUP(D485,Combined!$C$1:$J$501,8,FALSE)</f>
        <v>3</v>
      </c>
      <c r="N485" t="s">
        <v>369</v>
      </c>
      <c r="O485">
        <v>4</v>
      </c>
    </row>
    <row r="486" spans="1:15">
      <c r="A486" s="8" t="s">
        <v>294</v>
      </c>
      <c r="B486" s="7" t="str">
        <f>VLOOKUP(A486,Combined!$A$1:$C$501,2,FALSE)</f>
        <v>S096</v>
      </c>
      <c r="C486" s="7" t="s">
        <v>47</v>
      </c>
      <c r="D486" s="7" t="str">
        <f>VLOOKUP(A486,Combined!$A$1:$C$501,3,FALSE)</f>
        <v>C009</v>
      </c>
      <c r="E486" t="str">
        <f>VLOOKUP(D486,Combined!$C$1:$H$501,6,FALSE)</f>
        <v>Marketing</v>
      </c>
      <c r="F486">
        <f>VLOOKUP(D486,Combined!$C$1:$J$501,8,FALSE)</f>
        <v>3</v>
      </c>
      <c r="N486" t="s">
        <v>377</v>
      </c>
      <c r="O486">
        <v>4</v>
      </c>
    </row>
    <row r="487" spans="1:15">
      <c r="A487" s="8" t="s">
        <v>396</v>
      </c>
      <c r="B487" s="7" t="str">
        <f>VLOOKUP(A487,Combined!$A$1:$C$501,2,FALSE)</f>
        <v>S096</v>
      </c>
      <c r="C487" s="7" t="s">
        <v>47</v>
      </c>
      <c r="D487" s="7" t="str">
        <f>VLOOKUP(A487,Combined!$A$1:$C$501,3,FALSE)</f>
        <v>C006</v>
      </c>
      <c r="E487" t="str">
        <f>VLOOKUP(D487,Combined!$C$1:$H$501,6,FALSE)</f>
        <v>Fluid Mechanics</v>
      </c>
      <c r="F487">
        <f>VLOOKUP(D487,Combined!$C$1:$J$501,8,FALSE)</f>
        <v>4</v>
      </c>
      <c r="N487" t="s">
        <v>476</v>
      </c>
      <c r="O487">
        <v>4</v>
      </c>
    </row>
    <row r="488" spans="1:15">
      <c r="A488" s="8" t="s">
        <v>424</v>
      </c>
      <c r="B488" s="7" t="str">
        <f>VLOOKUP(A488,Combined!$A$1:$C$501,2,FALSE)</f>
        <v>S096</v>
      </c>
      <c r="C488" s="7" t="s">
        <v>47</v>
      </c>
      <c r="D488" s="7" t="str">
        <f>VLOOKUP(A488,Combined!$A$1:$C$501,3,FALSE)</f>
        <v>C002</v>
      </c>
      <c r="E488" t="str">
        <f>VLOOKUP(D488,Combined!$C$1:$H$501,6,FALSE)</f>
        <v>DBMS</v>
      </c>
      <c r="F488">
        <f>VLOOKUP(D488,Combined!$C$1:$J$501,8,FALSE)</f>
        <v>4</v>
      </c>
      <c r="N488" t="s">
        <v>628</v>
      </c>
      <c r="O488">
        <v>4</v>
      </c>
    </row>
    <row r="489" spans="1:15">
      <c r="A489" s="8" t="s">
        <v>442</v>
      </c>
      <c r="B489" s="7" t="str">
        <f>VLOOKUP(A489,Combined!$A$1:$C$501,2,FALSE)</f>
        <v>S096</v>
      </c>
      <c r="C489" s="7" t="s">
        <v>47</v>
      </c>
      <c r="D489" s="7" t="str">
        <f>VLOOKUP(A489,Combined!$A$1:$C$501,3,FALSE)</f>
        <v>C006</v>
      </c>
      <c r="E489" t="str">
        <f>VLOOKUP(D489,Combined!$C$1:$H$501,6,FALSE)</f>
        <v>Fluid Mechanics</v>
      </c>
      <c r="F489">
        <f>VLOOKUP(D489,Combined!$C$1:$J$501,8,FALSE)</f>
        <v>4</v>
      </c>
      <c r="M489" t="s">
        <v>107</v>
      </c>
      <c r="O489">
        <v>18</v>
      </c>
    </row>
    <row r="490" spans="1:15">
      <c r="A490" s="8" t="s">
        <v>456</v>
      </c>
      <c r="B490" s="7" t="str">
        <f>VLOOKUP(A490,Combined!$A$1:$C$501,2,FALSE)</f>
        <v>S096</v>
      </c>
      <c r="C490" s="7" t="s">
        <v>47</v>
      </c>
      <c r="D490" s="7" t="str">
        <f>VLOOKUP(A490,Combined!$A$1:$C$501,3,FALSE)</f>
        <v>C009</v>
      </c>
      <c r="E490" t="str">
        <f>VLOOKUP(D490,Combined!$C$1:$H$501,6,FALSE)</f>
        <v>Marketing</v>
      </c>
      <c r="F490">
        <f>VLOOKUP(D490,Combined!$C$1:$J$501,8,FALSE)</f>
        <v>3</v>
      </c>
      <c r="N490" t="s">
        <v>368</v>
      </c>
      <c r="O490">
        <v>4</v>
      </c>
    </row>
    <row r="491" spans="1:15">
      <c r="A491" s="9" t="s">
        <v>469</v>
      </c>
      <c r="B491" s="7" t="str">
        <f>VLOOKUP(A491,Combined!$A$1:$C$501,2,FALSE)</f>
        <v>S096</v>
      </c>
      <c r="C491" s="7" t="s">
        <v>47</v>
      </c>
      <c r="D491" s="7" t="str">
        <f>VLOOKUP(A491,Combined!$A$1:$C$501,3,FALSE)</f>
        <v>C007</v>
      </c>
      <c r="E491" t="str">
        <f>VLOOKUP(D491,Combined!$C$1:$H$501,6,FALSE)</f>
        <v>Digital Logic</v>
      </c>
      <c r="F491">
        <f>VLOOKUP(D491,Combined!$C$1:$J$501,8,FALSE)</f>
        <v>3</v>
      </c>
      <c r="N491" t="s">
        <v>487</v>
      </c>
      <c r="O491">
        <v>4</v>
      </c>
    </row>
    <row r="492" spans="1:15">
      <c r="A492" s="9" t="s">
        <v>559</v>
      </c>
      <c r="B492" s="7" t="str">
        <f>VLOOKUP(A492,Combined!$A$1:$C$501,2,FALSE)</f>
        <v>S096</v>
      </c>
      <c r="C492" s="7" t="s">
        <v>47</v>
      </c>
      <c r="D492" s="7" t="str">
        <f>VLOOKUP(A492,Combined!$A$1:$C$501,3,FALSE)</f>
        <v>C008</v>
      </c>
      <c r="E492" t="str">
        <f>VLOOKUP(D492,Combined!$C$1:$H$501,6,FALSE)</f>
        <v>Structural Analysis</v>
      </c>
      <c r="F492">
        <f>VLOOKUP(D492,Combined!$C$1:$J$501,8,FALSE)</f>
        <v>4</v>
      </c>
      <c r="N492" t="s">
        <v>502</v>
      </c>
      <c r="O492">
        <v>4</v>
      </c>
    </row>
    <row r="493" spans="1:15">
      <c r="A493" s="9" t="s">
        <v>241</v>
      </c>
      <c r="B493" s="7" t="str">
        <f>VLOOKUP(A493,Combined!$A$1:$C$501,2,FALSE)</f>
        <v>S097</v>
      </c>
      <c r="C493" s="7" t="s">
        <v>6</v>
      </c>
      <c r="D493" s="7" t="str">
        <f>VLOOKUP(A493,Combined!$A$1:$C$501,3,FALSE)</f>
        <v>C008</v>
      </c>
      <c r="E493" t="str">
        <f>VLOOKUP(D493,Combined!$C$1:$H$501,6,FALSE)</f>
        <v>Structural Analysis</v>
      </c>
      <c r="F493">
        <f>VLOOKUP(D493,Combined!$C$1:$J$501,8,FALSE)</f>
        <v>4</v>
      </c>
      <c r="N493" t="s">
        <v>540</v>
      </c>
      <c r="O493">
        <v>3</v>
      </c>
    </row>
    <row r="494" spans="1:15">
      <c r="A494" s="8" t="s">
        <v>556</v>
      </c>
      <c r="B494" s="7" t="str">
        <f>VLOOKUP(A494,Combined!$A$1:$C$501,2,FALSE)</f>
        <v>S097</v>
      </c>
      <c r="C494" s="7" t="s">
        <v>6</v>
      </c>
      <c r="D494" s="7" t="str">
        <f>VLOOKUP(A494,Combined!$A$1:$C$501,3,FALSE)</f>
        <v>C004</v>
      </c>
      <c r="E494" t="str">
        <f>VLOOKUP(D494,Combined!$C$1:$H$501,6,FALSE)</f>
        <v>Circuits</v>
      </c>
      <c r="F494">
        <f>VLOOKUP(D494,Combined!$C$1:$J$501,8,FALSE)</f>
        <v>4</v>
      </c>
      <c r="N494" t="s">
        <v>551</v>
      </c>
      <c r="O494">
        <v>3</v>
      </c>
    </row>
    <row r="495" spans="1:15">
      <c r="A495" s="9" t="s">
        <v>667</v>
      </c>
      <c r="B495" s="7" t="str">
        <f>VLOOKUP(A495,Combined!$A$1:$C$501,2,FALSE)</f>
        <v>S097</v>
      </c>
      <c r="C495" s="7" t="s">
        <v>6</v>
      </c>
      <c r="D495" s="7" t="str">
        <f>VLOOKUP(A495,Combined!$A$1:$C$501,3,FALSE)</f>
        <v>C005</v>
      </c>
      <c r="E495" t="str">
        <f>VLOOKUP(D495,Combined!$C$1:$H$501,6,FALSE)</f>
        <v>AI &amp; ML</v>
      </c>
      <c r="F495">
        <f>VLOOKUP(D495,Combined!$C$1:$J$501,8,FALSE)</f>
        <v>3</v>
      </c>
      <c r="M495" t="s">
        <v>108</v>
      </c>
      <c r="O495">
        <v>19</v>
      </c>
    </row>
    <row r="496" spans="1:15">
      <c r="A496" s="9" t="s">
        <v>683</v>
      </c>
      <c r="B496" s="7" t="str">
        <f>VLOOKUP(A496,Combined!$A$1:$C$501,2,FALSE)</f>
        <v>S097</v>
      </c>
      <c r="C496" s="7" t="s">
        <v>6</v>
      </c>
      <c r="D496" s="7" t="str">
        <f>VLOOKUP(A496,Combined!$A$1:$C$501,3,FALSE)</f>
        <v>C005</v>
      </c>
      <c r="E496" t="str">
        <f>VLOOKUP(D496,Combined!$C$1:$H$501,6,FALSE)</f>
        <v>AI &amp; ML</v>
      </c>
      <c r="F496">
        <f>VLOOKUP(D496,Combined!$C$1:$J$501,8,FALSE)</f>
        <v>3</v>
      </c>
      <c r="N496" t="s">
        <v>334</v>
      </c>
      <c r="O496">
        <v>4</v>
      </c>
    </row>
    <row r="497" spans="1:15">
      <c r="A497" s="8" t="s">
        <v>252</v>
      </c>
      <c r="B497" s="7" t="str">
        <f>VLOOKUP(A497,Combined!$A$1:$C$501,2,FALSE)</f>
        <v>S098</v>
      </c>
      <c r="C497" s="7" t="s">
        <v>47</v>
      </c>
      <c r="D497" s="7" t="str">
        <f>VLOOKUP(A497,Combined!$A$1:$C$501,3,FALSE)</f>
        <v>C010</v>
      </c>
      <c r="E497" t="str">
        <f>VLOOKUP(D497,Combined!$C$1:$H$501,6,FALSE)</f>
        <v>Finance</v>
      </c>
      <c r="F497">
        <f>VLOOKUP(D497,Combined!$C$1:$J$501,8,FALSE)</f>
        <v>4</v>
      </c>
      <c r="N497" t="s">
        <v>382</v>
      </c>
      <c r="O497">
        <v>3</v>
      </c>
    </row>
    <row r="498" spans="1:15">
      <c r="A498" s="9" t="s">
        <v>331</v>
      </c>
      <c r="B498" s="7" t="str">
        <f>VLOOKUP(A498,Combined!$A$1:$C$501,2,FALSE)</f>
        <v>S098</v>
      </c>
      <c r="C498" s="7" t="s">
        <v>47</v>
      </c>
      <c r="D498" s="7" t="str">
        <f>VLOOKUP(A498,Combined!$A$1:$C$501,3,FALSE)</f>
        <v>C005</v>
      </c>
      <c r="E498" t="str">
        <f>VLOOKUP(D498,Combined!$C$1:$H$501,6,FALSE)</f>
        <v>AI &amp; ML</v>
      </c>
      <c r="F498">
        <f>VLOOKUP(D498,Combined!$C$1:$J$501,8,FALSE)</f>
        <v>3</v>
      </c>
      <c r="N498" t="s">
        <v>401</v>
      </c>
      <c r="O498">
        <v>4</v>
      </c>
    </row>
    <row r="499" spans="1:15">
      <c r="A499" s="8" t="s">
        <v>332</v>
      </c>
      <c r="B499" s="7" t="str">
        <f>VLOOKUP(A499,Combined!$A$1:$C$501,2,FALSE)</f>
        <v>S098</v>
      </c>
      <c r="C499" s="7" t="s">
        <v>47</v>
      </c>
      <c r="D499" s="7" t="str">
        <f>VLOOKUP(A499,Combined!$A$1:$C$501,3,FALSE)</f>
        <v>C003</v>
      </c>
      <c r="E499" t="str">
        <f>VLOOKUP(D499,Combined!$C$1:$H$501,6,FALSE)</f>
        <v>Thermodynamics</v>
      </c>
      <c r="F499">
        <f>VLOOKUP(D499,Combined!$C$1:$J$501,8,FALSE)</f>
        <v>3</v>
      </c>
      <c r="N499" t="s">
        <v>538</v>
      </c>
      <c r="O499">
        <v>4</v>
      </c>
    </row>
    <row r="500" spans="1:15">
      <c r="A500" s="8" t="s">
        <v>338</v>
      </c>
      <c r="B500" s="7" t="str">
        <f>VLOOKUP(A500,Combined!$A$1:$C$501,2,FALSE)</f>
        <v>S098</v>
      </c>
      <c r="C500" s="7" t="s">
        <v>47</v>
      </c>
      <c r="D500" s="7" t="str">
        <f>VLOOKUP(A500,Combined!$A$1:$C$501,3,FALSE)</f>
        <v>C009</v>
      </c>
      <c r="E500" t="str">
        <f>VLOOKUP(D500,Combined!$C$1:$H$501,6,FALSE)</f>
        <v>Marketing</v>
      </c>
      <c r="F500">
        <f>VLOOKUP(D500,Combined!$C$1:$J$501,8,FALSE)</f>
        <v>3</v>
      </c>
      <c r="N500" t="s">
        <v>663</v>
      </c>
      <c r="O500">
        <v>4</v>
      </c>
    </row>
    <row r="501" spans="1:15">
      <c r="A501" s="9" t="s">
        <v>371</v>
      </c>
      <c r="B501" s="7" t="str">
        <f>VLOOKUP(A501,Combined!$A$1:$C$501,2,FALSE)</f>
        <v>S098</v>
      </c>
      <c r="C501" s="7" t="s">
        <v>47</v>
      </c>
      <c r="D501" s="7" t="str">
        <f>VLOOKUP(A501,Combined!$A$1:$C$501,3,FALSE)</f>
        <v>C002</v>
      </c>
      <c r="E501" t="str">
        <f>VLOOKUP(D501,Combined!$C$1:$H$501,6,FALSE)</f>
        <v>DBMS</v>
      </c>
      <c r="F501">
        <f>VLOOKUP(D501,Combined!$C$1:$J$501,8,FALSE)</f>
        <v>4</v>
      </c>
      <c r="M501" t="s">
        <v>109</v>
      </c>
      <c r="O501">
        <v>19</v>
      </c>
    </row>
    <row r="502" spans="1:15">
      <c r="A502" s="8" t="s">
        <v>450</v>
      </c>
      <c r="B502" s="7" t="str">
        <f>VLOOKUP(A502,Combined!$A$1:$C$501,2,FALSE)</f>
        <v>S098</v>
      </c>
      <c r="C502" s="7" t="s">
        <v>47</v>
      </c>
      <c r="D502" s="7" t="str">
        <f>VLOOKUP(A502,Combined!$A$1:$C$501,3,FALSE)</f>
        <v>C005</v>
      </c>
      <c r="E502" t="str">
        <f>VLOOKUP(D502,Combined!$C$1:$H$501,6,FALSE)</f>
        <v>AI &amp; ML</v>
      </c>
      <c r="F502">
        <f>VLOOKUP(D502,Combined!$C$1:$J$501,8,FALSE)</f>
        <v>3</v>
      </c>
      <c r="N502" t="s">
        <v>212</v>
      </c>
      <c r="O502">
        <v>3</v>
      </c>
    </row>
    <row r="503" spans="1:15">
      <c r="A503" s="9" t="s">
        <v>617</v>
      </c>
      <c r="B503" s="7" t="str">
        <f>VLOOKUP(A503,Combined!$A$1:$C$501,2,FALSE)</f>
        <v>S098</v>
      </c>
      <c r="C503" s="7" t="s">
        <v>47</v>
      </c>
      <c r="D503" s="7" t="str">
        <f>VLOOKUP(A503,Combined!$A$1:$C$501,3,FALSE)</f>
        <v>C003</v>
      </c>
      <c r="E503" t="str">
        <f>VLOOKUP(D503,Combined!$C$1:$H$501,6,FALSE)</f>
        <v>Thermodynamics</v>
      </c>
      <c r="F503">
        <f>VLOOKUP(D503,Combined!$C$1:$J$501,8,FALSE)</f>
        <v>3</v>
      </c>
      <c r="N503" t="s">
        <v>323</v>
      </c>
      <c r="O503">
        <v>3</v>
      </c>
    </row>
    <row r="504" spans="1:15">
      <c r="A504" s="8" t="s">
        <v>692</v>
      </c>
      <c r="B504" s="7" t="str">
        <f>VLOOKUP(A504,Combined!$A$1:$C$501,2,FALSE)</f>
        <v>S098</v>
      </c>
      <c r="C504" s="7" t="s">
        <v>47</v>
      </c>
      <c r="D504" s="7" t="str">
        <f>VLOOKUP(A504,Combined!$A$1:$C$501,3,FALSE)</f>
        <v>C004</v>
      </c>
      <c r="E504" t="str">
        <f>VLOOKUP(D504,Combined!$C$1:$H$501,6,FALSE)</f>
        <v>Circuits</v>
      </c>
      <c r="F504">
        <f>VLOOKUP(D504,Combined!$C$1:$J$501,8,FALSE)</f>
        <v>4</v>
      </c>
      <c r="N504" t="s">
        <v>415</v>
      </c>
      <c r="O504">
        <v>4</v>
      </c>
    </row>
    <row r="505" spans="1:15">
      <c r="A505" s="8" t="s">
        <v>244</v>
      </c>
      <c r="B505" s="7" t="str">
        <f>VLOOKUP(A505,Combined!$A$1:$C$501,2,FALSE)</f>
        <v>S099</v>
      </c>
      <c r="C505" s="7" t="s">
        <v>37</v>
      </c>
      <c r="D505" s="7" t="str">
        <f>VLOOKUP(A505,Combined!$A$1:$C$501,3,FALSE)</f>
        <v>C009</v>
      </c>
      <c r="E505" t="str">
        <f>VLOOKUP(D505,Combined!$C$1:$H$501,6,FALSE)</f>
        <v>Marketing</v>
      </c>
      <c r="F505">
        <f>VLOOKUP(D505,Combined!$C$1:$J$501,8,FALSE)</f>
        <v>3</v>
      </c>
      <c r="N505" t="s">
        <v>428</v>
      </c>
      <c r="O505">
        <v>3</v>
      </c>
    </row>
    <row r="506" spans="1:15">
      <c r="A506" s="8" t="s">
        <v>270</v>
      </c>
      <c r="B506" s="7" t="str">
        <f>VLOOKUP(A506,Combined!$A$1:$C$501,2,FALSE)</f>
        <v>S099</v>
      </c>
      <c r="C506" s="7" t="s">
        <v>37</v>
      </c>
      <c r="D506" s="7" t="str">
        <f>VLOOKUP(A506,Combined!$A$1:$C$501,3,FALSE)</f>
        <v>C006</v>
      </c>
      <c r="E506" t="str">
        <f>VLOOKUP(D506,Combined!$C$1:$H$501,6,FALSE)</f>
        <v>Fluid Mechanics</v>
      </c>
      <c r="F506">
        <f>VLOOKUP(D506,Combined!$C$1:$J$501,8,FALSE)</f>
        <v>4</v>
      </c>
      <c r="N506" t="s">
        <v>550</v>
      </c>
      <c r="O506">
        <v>3</v>
      </c>
    </row>
    <row r="507" spans="1:15">
      <c r="A507" s="9" t="s">
        <v>467</v>
      </c>
      <c r="B507" s="7" t="str">
        <f>VLOOKUP(A507,Combined!$A$1:$C$501,2,FALSE)</f>
        <v>S099</v>
      </c>
      <c r="C507" s="7" t="s">
        <v>37</v>
      </c>
      <c r="D507" s="7" t="str">
        <f>VLOOKUP(A507,Combined!$A$1:$C$501,3,FALSE)</f>
        <v>C003</v>
      </c>
      <c r="E507" t="str">
        <f>VLOOKUP(D507,Combined!$C$1:$H$501,6,FALSE)</f>
        <v>Thermodynamics</v>
      </c>
      <c r="F507">
        <f>VLOOKUP(D507,Combined!$C$1:$J$501,8,FALSE)</f>
        <v>3</v>
      </c>
      <c r="N507" t="s">
        <v>668</v>
      </c>
      <c r="O507">
        <v>3</v>
      </c>
    </row>
    <row r="508" spans="1:15">
      <c r="A508" s="9" t="s">
        <v>485</v>
      </c>
      <c r="B508" s="7" t="str">
        <f>VLOOKUP(A508,Combined!$A$1:$C$501,2,FALSE)</f>
        <v>S099</v>
      </c>
      <c r="C508" s="7" t="s">
        <v>37</v>
      </c>
      <c r="D508" s="7" t="str">
        <f>VLOOKUP(A508,Combined!$A$1:$C$501,3,FALSE)</f>
        <v>C008</v>
      </c>
      <c r="E508" t="str">
        <f>VLOOKUP(D508,Combined!$C$1:$H$501,6,FALSE)</f>
        <v>Structural Analysis</v>
      </c>
      <c r="F508">
        <f>VLOOKUP(D508,Combined!$C$1:$J$501,8,FALSE)</f>
        <v>4</v>
      </c>
      <c r="M508" t="s">
        <v>110</v>
      </c>
      <c r="O508">
        <v>7</v>
      </c>
    </row>
    <row r="509" spans="1:15">
      <c r="A509" s="9" t="s">
        <v>511</v>
      </c>
      <c r="B509" s="7" t="str">
        <f>VLOOKUP(A509,Combined!$A$1:$C$501,2,FALSE)</f>
        <v>S099</v>
      </c>
      <c r="C509" s="7" t="s">
        <v>37</v>
      </c>
      <c r="D509" s="7" t="str">
        <f>VLOOKUP(A509,Combined!$A$1:$C$501,3,FALSE)</f>
        <v>C008</v>
      </c>
      <c r="E509" t="str">
        <f>VLOOKUP(D509,Combined!$C$1:$H$501,6,FALSE)</f>
        <v>Structural Analysis</v>
      </c>
      <c r="F509">
        <f>VLOOKUP(D509,Combined!$C$1:$J$501,8,FALSE)</f>
        <v>4</v>
      </c>
      <c r="N509" t="s">
        <v>576</v>
      </c>
      <c r="O509">
        <v>3</v>
      </c>
    </row>
    <row r="510" spans="1:15">
      <c r="A510" s="8" t="s">
        <v>548</v>
      </c>
      <c r="B510" s="7" t="str">
        <f>VLOOKUP(A510,Combined!$A$1:$C$501,2,FALSE)</f>
        <v>S099</v>
      </c>
      <c r="C510" s="7" t="s">
        <v>37</v>
      </c>
      <c r="D510" s="7" t="str">
        <f>VLOOKUP(A510,Combined!$A$1:$C$501,3,FALSE)</f>
        <v>C010</v>
      </c>
      <c r="E510" t="str">
        <f>VLOOKUP(D510,Combined!$C$1:$H$501,6,FALSE)</f>
        <v>Finance</v>
      </c>
      <c r="F510">
        <f>VLOOKUP(D510,Combined!$C$1:$J$501,8,FALSE)</f>
        <v>4</v>
      </c>
      <c r="N510" t="s">
        <v>685</v>
      </c>
      <c r="O510">
        <v>4</v>
      </c>
    </row>
    <row r="511" spans="1:15">
      <c r="A511" s="8" t="s">
        <v>594</v>
      </c>
      <c r="B511" s="7" t="str">
        <f>VLOOKUP(A511,Combined!$A$1:$C$501,2,FALSE)</f>
        <v>S099</v>
      </c>
      <c r="C511" s="7" t="s">
        <v>37</v>
      </c>
      <c r="D511" s="7" t="str">
        <f>VLOOKUP(A511,Combined!$A$1:$C$501,3,FALSE)</f>
        <v>C003</v>
      </c>
      <c r="E511" t="str">
        <f>VLOOKUP(D511,Combined!$C$1:$H$501,6,FALSE)</f>
        <v>Thermodynamics</v>
      </c>
      <c r="F511">
        <f>VLOOKUP(D511,Combined!$C$1:$J$501,8,FALSE)</f>
        <v>3</v>
      </c>
      <c r="M511" t="s">
        <v>111</v>
      </c>
      <c r="O511">
        <v>25</v>
      </c>
    </row>
    <row r="512" spans="1:15">
      <c r="A512" s="8" t="s">
        <v>604</v>
      </c>
      <c r="B512" s="7" t="str">
        <f>VLOOKUP(A512,Combined!$A$1:$C$501,2,FALSE)</f>
        <v>S099</v>
      </c>
      <c r="C512" s="7" t="s">
        <v>37</v>
      </c>
      <c r="D512" s="7" t="str">
        <f>VLOOKUP(A512,Combined!$A$1:$C$501,3,FALSE)</f>
        <v>C010</v>
      </c>
      <c r="E512" t="str">
        <f>VLOOKUP(D512,Combined!$C$1:$H$501,6,FALSE)</f>
        <v>Finance</v>
      </c>
      <c r="F512">
        <f>VLOOKUP(D512,Combined!$C$1:$J$501,8,FALSE)</f>
        <v>4</v>
      </c>
      <c r="N512" t="s">
        <v>276</v>
      </c>
      <c r="O512">
        <v>4</v>
      </c>
    </row>
    <row r="513" spans="1:15">
      <c r="A513" s="8" t="s">
        <v>706</v>
      </c>
      <c r="B513" s="7" t="str">
        <f>VLOOKUP(A513,Combined!$A$1:$C$501,2,FALSE)</f>
        <v>S099</v>
      </c>
      <c r="C513" s="7" t="s">
        <v>37</v>
      </c>
      <c r="D513" s="7" t="str">
        <f>VLOOKUP(A513,Combined!$A$1:$C$501,3,FALSE)</f>
        <v>C003</v>
      </c>
      <c r="E513" t="str">
        <f>VLOOKUP(D513,Combined!$C$1:$H$501,6,FALSE)</f>
        <v>Thermodynamics</v>
      </c>
      <c r="F513">
        <f>VLOOKUP(D513,Combined!$C$1:$J$501,8,FALSE)</f>
        <v>3</v>
      </c>
      <c r="N513" t="s">
        <v>292</v>
      </c>
      <c r="O513">
        <v>4</v>
      </c>
    </row>
    <row r="514" spans="1:15">
      <c r="A514" s="9" t="s">
        <v>237</v>
      </c>
      <c r="B514" s="7" t="str">
        <f>VLOOKUP(A514,Combined!$A$1:$C$501,2,FALSE)</f>
        <v>S100</v>
      </c>
      <c r="C514" s="7" t="s">
        <v>14</v>
      </c>
      <c r="D514" s="7" t="str">
        <f>VLOOKUP(A514,Combined!$A$1:$C$501,3,FALSE)</f>
        <v>C007</v>
      </c>
      <c r="E514" t="str">
        <f>VLOOKUP(D514,Combined!$C$1:$H$501,6,FALSE)</f>
        <v>Digital Logic</v>
      </c>
      <c r="F514">
        <f>VLOOKUP(D514,Combined!$C$1:$J$501,8,FALSE)</f>
        <v>3</v>
      </c>
      <c r="N514" t="s">
        <v>341</v>
      </c>
      <c r="O514">
        <v>3</v>
      </c>
    </row>
    <row r="515" spans="1:15">
      <c r="A515" s="9" t="s">
        <v>271</v>
      </c>
      <c r="B515" s="7" t="str">
        <f>VLOOKUP(A515,Combined!$A$1:$C$501,2,FALSE)</f>
        <v>S100</v>
      </c>
      <c r="C515" s="7" t="s">
        <v>14</v>
      </c>
      <c r="D515" s="7" t="str">
        <f>VLOOKUP(A515,Combined!$A$1:$C$501,3,FALSE)</f>
        <v>C003</v>
      </c>
      <c r="E515" t="str">
        <f>VLOOKUP(D515,Combined!$C$1:$H$501,6,FALSE)</f>
        <v>Thermodynamics</v>
      </c>
      <c r="F515">
        <f>VLOOKUP(D515,Combined!$C$1:$J$501,8,FALSE)</f>
        <v>3</v>
      </c>
      <c r="N515" t="s">
        <v>386</v>
      </c>
      <c r="O515">
        <v>3</v>
      </c>
    </row>
    <row r="516" spans="1:15">
      <c r="A516" s="8" t="s">
        <v>312</v>
      </c>
      <c r="B516" s="7" t="str">
        <f>VLOOKUP(A516,Combined!$A$1:$C$501,2,FALSE)</f>
        <v>S100</v>
      </c>
      <c r="C516" s="7" t="s">
        <v>14</v>
      </c>
      <c r="D516" s="7" t="str">
        <f>VLOOKUP(A516,Combined!$A$1:$C$501,3,FALSE)</f>
        <v>C009</v>
      </c>
      <c r="E516" t="str">
        <f>VLOOKUP(D516,Combined!$C$1:$H$501,6,FALSE)</f>
        <v>Marketing</v>
      </c>
      <c r="F516">
        <f>VLOOKUP(D516,Combined!$C$1:$J$501,8,FALSE)</f>
        <v>3</v>
      </c>
      <c r="N516" t="s">
        <v>448</v>
      </c>
      <c r="O516">
        <v>4</v>
      </c>
    </row>
    <row r="517" spans="1:15">
      <c r="A517" s="9" t="s">
        <v>425</v>
      </c>
      <c r="B517" s="7" t="str">
        <f>VLOOKUP(A517,Combined!$A$1:$C$501,2,FALSE)</f>
        <v>S100</v>
      </c>
      <c r="C517" s="7" t="s">
        <v>14</v>
      </c>
      <c r="D517" s="7" t="str">
        <f>VLOOKUP(A517,Combined!$A$1:$C$501,3,FALSE)</f>
        <v>C006</v>
      </c>
      <c r="E517" t="str">
        <f>VLOOKUP(D517,Combined!$C$1:$H$501,6,FALSE)</f>
        <v>Fluid Mechanics</v>
      </c>
      <c r="F517">
        <f>VLOOKUP(D517,Combined!$C$1:$J$501,8,FALSE)</f>
        <v>4</v>
      </c>
      <c r="N517" t="s">
        <v>461</v>
      </c>
      <c r="O517">
        <v>3</v>
      </c>
    </row>
    <row r="518" spans="1:15">
      <c r="A518" s="9" t="s">
        <v>557</v>
      </c>
      <c r="B518" s="7" t="str">
        <f>VLOOKUP(A518,Combined!$A$1:$C$501,2,FALSE)</f>
        <v>S100</v>
      </c>
      <c r="C518" s="7" t="s">
        <v>14</v>
      </c>
      <c r="D518" s="7" t="str">
        <f>VLOOKUP(A518,Combined!$A$1:$C$501,3,FALSE)</f>
        <v>C001</v>
      </c>
      <c r="E518" t="str">
        <f>VLOOKUP(D518,Combined!$C$1:$H$501,6,FALSE)</f>
        <v>Data Structures</v>
      </c>
      <c r="F518">
        <f>VLOOKUP(D518,Combined!$C$1:$J$501,8,FALSE)</f>
        <v>3</v>
      </c>
      <c r="N518" t="s">
        <v>514</v>
      </c>
      <c r="O518">
        <v>4</v>
      </c>
    </row>
    <row r="519" spans="1:15">
      <c r="A519" s="11" t="s">
        <v>593</v>
      </c>
      <c r="B519" s="7" t="str">
        <f>VLOOKUP(A519,Combined!$A$1:$C$501,2,FALSE)</f>
        <v>S100</v>
      </c>
      <c r="C519" s="7" t="s">
        <v>14</v>
      </c>
      <c r="D519" s="7" t="str">
        <f>VLOOKUP(A519,Combined!$A$1:$C$501,3,FALSE)</f>
        <v>C009</v>
      </c>
      <c r="E519" t="str">
        <f>VLOOKUP(D519,Combined!$C$1:$H$501,6,FALSE)</f>
        <v>Marketing</v>
      </c>
      <c r="F519">
        <f>VLOOKUP(D519,Combined!$C$1:$J$501,8,FALSE)</f>
        <v>3</v>
      </c>
      <c r="M519" t="s">
        <v>112</v>
      </c>
      <c r="O519">
        <v>30</v>
      </c>
    </row>
    <row r="520" spans="1:15">
      <c r="N520" t="s">
        <v>199</v>
      </c>
      <c r="O520">
        <v>4</v>
      </c>
    </row>
    <row r="521" spans="1:15">
      <c r="N521" t="s">
        <v>257</v>
      </c>
      <c r="O521">
        <v>3</v>
      </c>
    </row>
    <row r="522" spans="1:15">
      <c r="N522" t="s">
        <v>336</v>
      </c>
      <c r="O522">
        <v>4</v>
      </c>
    </row>
    <row r="523" spans="1:15">
      <c r="N523" t="s">
        <v>444</v>
      </c>
      <c r="O523">
        <v>4</v>
      </c>
    </row>
    <row r="524" spans="1:15">
      <c r="N524" t="s">
        <v>445</v>
      </c>
      <c r="O524">
        <v>3</v>
      </c>
    </row>
    <row r="525" spans="1:15">
      <c r="N525" t="s">
        <v>583</v>
      </c>
      <c r="O525">
        <v>4</v>
      </c>
    </row>
    <row r="526" spans="1:15">
      <c r="N526" t="s">
        <v>680</v>
      </c>
      <c r="O526">
        <v>4</v>
      </c>
    </row>
    <row r="527" spans="1:15">
      <c r="N527" t="s">
        <v>686</v>
      </c>
      <c r="O527">
        <v>4</v>
      </c>
    </row>
    <row r="528" spans="1:15">
      <c r="M528" t="s">
        <v>113</v>
      </c>
      <c r="O528">
        <v>20</v>
      </c>
    </row>
    <row r="529" spans="13:15">
      <c r="N529" t="s">
        <v>367</v>
      </c>
      <c r="O529">
        <v>3</v>
      </c>
    </row>
    <row r="530" spans="13:15">
      <c r="N530" t="s">
        <v>380</v>
      </c>
      <c r="O530">
        <v>3</v>
      </c>
    </row>
    <row r="531" spans="13:15">
      <c r="N531" t="s">
        <v>390</v>
      </c>
      <c r="O531">
        <v>3</v>
      </c>
    </row>
    <row r="532" spans="13:15">
      <c r="N532" t="s">
        <v>460</v>
      </c>
      <c r="O532">
        <v>4</v>
      </c>
    </row>
    <row r="533" spans="13:15">
      <c r="N533" t="s">
        <v>464</v>
      </c>
      <c r="O533">
        <v>4</v>
      </c>
    </row>
    <row r="534" spans="13:15">
      <c r="N534" t="s">
        <v>701</v>
      </c>
      <c r="O534">
        <v>3</v>
      </c>
    </row>
    <row r="535" spans="13:15">
      <c r="M535" t="s">
        <v>114</v>
      </c>
      <c r="O535">
        <v>15</v>
      </c>
    </row>
    <row r="536" spans="13:15">
      <c r="N536" t="s">
        <v>321</v>
      </c>
      <c r="O536">
        <v>4</v>
      </c>
    </row>
    <row r="537" spans="13:15">
      <c r="N537" t="s">
        <v>440</v>
      </c>
      <c r="O537">
        <v>4</v>
      </c>
    </row>
    <row r="538" spans="13:15">
      <c r="N538" t="s">
        <v>486</v>
      </c>
      <c r="O538">
        <v>4</v>
      </c>
    </row>
    <row r="539" spans="13:15">
      <c r="N539" t="s">
        <v>665</v>
      </c>
      <c r="O539">
        <v>3</v>
      </c>
    </row>
    <row r="540" spans="13:15">
      <c r="M540" t="s">
        <v>115</v>
      </c>
      <c r="O540">
        <v>19</v>
      </c>
    </row>
    <row r="541" spans="13:15">
      <c r="N541" t="s">
        <v>372</v>
      </c>
      <c r="O541">
        <v>3</v>
      </c>
    </row>
    <row r="542" spans="13:15">
      <c r="N542" t="s">
        <v>566</v>
      </c>
      <c r="O542">
        <v>4</v>
      </c>
    </row>
    <row r="543" spans="13:15">
      <c r="N543" t="s">
        <v>580</v>
      </c>
      <c r="O543">
        <v>4</v>
      </c>
    </row>
    <row r="544" spans="13:15">
      <c r="N544" t="s">
        <v>654</v>
      </c>
      <c r="O544">
        <v>4</v>
      </c>
    </row>
    <row r="545" spans="13:15">
      <c r="N545" t="s">
        <v>688</v>
      </c>
      <c r="O545">
        <v>4</v>
      </c>
    </row>
    <row r="546" spans="13:15">
      <c r="M546" t="s">
        <v>116</v>
      </c>
      <c r="O546">
        <v>20</v>
      </c>
    </row>
    <row r="547" spans="13:15">
      <c r="N547" t="s">
        <v>202</v>
      </c>
      <c r="O547">
        <v>4</v>
      </c>
    </row>
    <row r="548" spans="13:15">
      <c r="N548" t="s">
        <v>238</v>
      </c>
      <c r="O548">
        <v>3</v>
      </c>
    </row>
    <row r="549" spans="13:15">
      <c r="N549" t="s">
        <v>295</v>
      </c>
      <c r="O549">
        <v>4</v>
      </c>
    </row>
    <row r="550" spans="13:15">
      <c r="N550" t="s">
        <v>304</v>
      </c>
      <c r="O550">
        <v>3</v>
      </c>
    </row>
    <row r="551" spans="13:15">
      <c r="N551" t="s">
        <v>404</v>
      </c>
      <c r="O551">
        <v>3</v>
      </c>
    </row>
    <row r="552" spans="13:15">
      <c r="N552" t="s">
        <v>533</v>
      </c>
      <c r="O552">
        <v>3</v>
      </c>
    </row>
    <row r="553" spans="13:15">
      <c r="M553" t="s">
        <v>117</v>
      </c>
      <c r="O553">
        <v>17</v>
      </c>
    </row>
    <row r="554" spans="13:15">
      <c r="N554" t="s">
        <v>302</v>
      </c>
      <c r="O554">
        <v>3</v>
      </c>
    </row>
    <row r="555" spans="13:15">
      <c r="N555" t="s">
        <v>320</v>
      </c>
      <c r="O555">
        <v>3</v>
      </c>
    </row>
    <row r="556" spans="13:15">
      <c r="N556" t="s">
        <v>474</v>
      </c>
      <c r="O556">
        <v>3</v>
      </c>
    </row>
    <row r="557" spans="13:15">
      <c r="N557" t="s">
        <v>579</v>
      </c>
      <c r="O557">
        <v>4</v>
      </c>
    </row>
    <row r="558" spans="13:15">
      <c r="N558" t="s">
        <v>638</v>
      </c>
      <c r="O558">
        <v>4</v>
      </c>
    </row>
    <row r="559" spans="13:15">
      <c r="M559" t="s">
        <v>118</v>
      </c>
      <c r="O559">
        <v>22</v>
      </c>
    </row>
    <row r="560" spans="13:15">
      <c r="N560" t="s">
        <v>235</v>
      </c>
      <c r="O560">
        <v>3</v>
      </c>
    </row>
    <row r="561" spans="13:15">
      <c r="N561" t="s">
        <v>430</v>
      </c>
      <c r="O561">
        <v>4</v>
      </c>
    </row>
    <row r="562" spans="13:15">
      <c r="N562" t="s">
        <v>497</v>
      </c>
      <c r="O562">
        <v>4</v>
      </c>
    </row>
    <row r="563" spans="13:15">
      <c r="N563" t="s">
        <v>541</v>
      </c>
      <c r="O563">
        <v>3</v>
      </c>
    </row>
    <row r="564" spans="13:15">
      <c r="N564" t="s">
        <v>552</v>
      </c>
      <c r="O564">
        <v>4</v>
      </c>
    </row>
    <row r="565" spans="13:15">
      <c r="N565" t="s">
        <v>582</v>
      </c>
      <c r="O565">
        <v>4</v>
      </c>
    </row>
    <row r="566" spans="13:15">
      <c r="M566" t="s">
        <v>119</v>
      </c>
      <c r="O566">
        <v>10</v>
      </c>
    </row>
    <row r="567" spans="13:15">
      <c r="N567" t="s">
        <v>299</v>
      </c>
      <c r="O567">
        <v>4</v>
      </c>
    </row>
    <row r="568" spans="13:15">
      <c r="N568" t="s">
        <v>355</v>
      </c>
      <c r="O568">
        <v>3</v>
      </c>
    </row>
    <row r="569" spans="13:15">
      <c r="N569" t="s">
        <v>642</v>
      </c>
      <c r="O569">
        <v>3</v>
      </c>
    </row>
    <row r="570" spans="13:15">
      <c r="M570" t="s">
        <v>120</v>
      </c>
      <c r="O570">
        <v>18</v>
      </c>
    </row>
    <row r="571" spans="13:15">
      <c r="N571" t="s">
        <v>392</v>
      </c>
      <c r="O571">
        <v>3</v>
      </c>
    </row>
    <row r="572" spans="13:15">
      <c r="N572" t="s">
        <v>427</v>
      </c>
      <c r="O572">
        <v>3</v>
      </c>
    </row>
    <row r="573" spans="13:15">
      <c r="N573" t="s">
        <v>438</v>
      </c>
      <c r="O573">
        <v>4</v>
      </c>
    </row>
    <row r="574" spans="13:15">
      <c r="N574" t="s">
        <v>624</v>
      </c>
      <c r="O574">
        <v>4</v>
      </c>
    </row>
    <row r="575" spans="13:15">
      <c r="N575" t="s">
        <v>676</v>
      </c>
      <c r="O575">
        <v>4</v>
      </c>
    </row>
    <row r="576" spans="13:15">
      <c r="M576" t="s">
        <v>121</v>
      </c>
      <c r="O576">
        <v>3</v>
      </c>
    </row>
    <row r="577" spans="13:15">
      <c r="N577" t="s">
        <v>648</v>
      </c>
      <c r="O577">
        <v>3</v>
      </c>
    </row>
    <row r="578" spans="13:15">
      <c r="M578" t="s">
        <v>122</v>
      </c>
      <c r="O578">
        <v>28</v>
      </c>
    </row>
    <row r="579" spans="13:15">
      <c r="N579" t="s">
        <v>265</v>
      </c>
      <c r="O579">
        <v>3</v>
      </c>
    </row>
    <row r="580" spans="13:15">
      <c r="N580" t="s">
        <v>294</v>
      </c>
      <c r="O580">
        <v>3</v>
      </c>
    </row>
    <row r="581" spans="13:15">
      <c r="N581" t="s">
        <v>396</v>
      </c>
      <c r="O581">
        <v>4</v>
      </c>
    </row>
    <row r="582" spans="13:15">
      <c r="N582" t="s">
        <v>424</v>
      </c>
      <c r="O582">
        <v>4</v>
      </c>
    </row>
    <row r="583" spans="13:15">
      <c r="N583" t="s">
        <v>442</v>
      </c>
      <c r="O583">
        <v>4</v>
      </c>
    </row>
    <row r="584" spans="13:15">
      <c r="N584" t="s">
        <v>456</v>
      </c>
      <c r="O584">
        <v>3</v>
      </c>
    </row>
    <row r="585" spans="13:15">
      <c r="N585" t="s">
        <v>469</v>
      </c>
      <c r="O585">
        <v>3</v>
      </c>
    </row>
    <row r="586" spans="13:15">
      <c r="N586" t="s">
        <v>559</v>
      </c>
      <c r="O586">
        <v>4</v>
      </c>
    </row>
    <row r="587" spans="13:15">
      <c r="M587" t="s">
        <v>123</v>
      </c>
      <c r="O587">
        <v>14</v>
      </c>
    </row>
    <row r="588" spans="13:15">
      <c r="N588" t="s">
        <v>241</v>
      </c>
      <c r="O588">
        <v>4</v>
      </c>
    </row>
    <row r="589" spans="13:15">
      <c r="N589" t="s">
        <v>556</v>
      </c>
      <c r="O589">
        <v>4</v>
      </c>
    </row>
    <row r="590" spans="13:15">
      <c r="N590" t="s">
        <v>667</v>
      </c>
      <c r="O590">
        <v>3</v>
      </c>
    </row>
    <row r="591" spans="13:15">
      <c r="N591" t="s">
        <v>683</v>
      </c>
      <c r="O591">
        <v>3</v>
      </c>
    </row>
    <row r="592" spans="13:15">
      <c r="M592" t="s">
        <v>124</v>
      </c>
      <c r="O592">
        <v>27</v>
      </c>
    </row>
    <row r="593" spans="13:15">
      <c r="N593" t="s">
        <v>252</v>
      </c>
      <c r="O593">
        <v>4</v>
      </c>
    </row>
    <row r="594" spans="13:15">
      <c r="N594" t="s">
        <v>331</v>
      </c>
      <c r="O594">
        <v>3</v>
      </c>
    </row>
    <row r="595" spans="13:15">
      <c r="N595" t="s">
        <v>332</v>
      </c>
      <c r="O595">
        <v>3</v>
      </c>
    </row>
    <row r="596" spans="13:15">
      <c r="N596" t="s">
        <v>338</v>
      </c>
      <c r="O596">
        <v>3</v>
      </c>
    </row>
    <row r="597" spans="13:15">
      <c r="N597" t="s">
        <v>371</v>
      </c>
      <c r="O597">
        <v>4</v>
      </c>
    </row>
    <row r="598" spans="13:15">
      <c r="N598" t="s">
        <v>450</v>
      </c>
      <c r="O598">
        <v>3</v>
      </c>
    </row>
    <row r="599" spans="13:15">
      <c r="N599" t="s">
        <v>617</v>
      </c>
      <c r="O599">
        <v>3</v>
      </c>
    </row>
    <row r="600" spans="13:15">
      <c r="N600" t="s">
        <v>692</v>
      </c>
      <c r="O600">
        <v>4</v>
      </c>
    </row>
    <row r="601" spans="13:15">
      <c r="M601" t="s">
        <v>125</v>
      </c>
      <c r="O601">
        <v>32</v>
      </c>
    </row>
    <row r="602" spans="13:15">
      <c r="N602" t="s">
        <v>244</v>
      </c>
      <c r="O602">
        <v>3</v>
      </c>
    </row>
    <row r="603" spans="13:15">
      <c r="N603" t="s">
        <v>270</v>
      </c>
      <c r="O603">
        <v>4</v>
      </c>
    </row>
    <row r="604" spans="13:15">
      <c r="N604" t="s">
        <v>467</v>
      </c>
      <c r="O604">
        <v>3</v>
      </c>
    </row>
    <row r="605" spans="13:15">
      <c r="N605" t="s">
        <v>485</v>
      </c>
      <c r="O605">
        <v>4</v>
      </c>
    </row>
    <row r="606" spans="13:15">
      <c r="N606" t="s">
        <v>511</v>
      </c>
      <c r="O606">
        <v>4</v>
      </c>
    </row>
    <row r="607" spans="13:15">
      <c r="N607" t="s">
        <v>548</v>
      </c>
      <c r="O607">
        <v>4</v>
      </c>
    </row>
    <row r="608" spans="13:15">
      <c r="N608" t="s">
        <v>594</v>
      </c>
      <c r="O608">
        <v>3</v>
      </c>
    </row>
    <row r="609" spans="13:15">
      <c r="N609" t="s">
        <v>604</v>
      </c>
      <c r="O609">
        <v>4</v>
      </c>
    </row>
    <row r="610" spans="13:15">
      <c r="N610" t="s">
        <v>706</v>
      </c>
      <c r="O610">
        <v>3</v>
      </c>
    </row>
    <row r="611" spans="13:15">
      <c r="M611" t="s">
        <v>126</v>
      </c>
      <c r="O611">
        <v>19</v>
      </c>
    </row>
    <row r="612" spans="13:15">
      <c r="N612" t="s">
        <v>237</v>
      </c>
      <c r="O612">
        <v>3</v>
      </c>
    </row>
    <row r="613" spans="13:15">
      <c r="N613" t="s">
        <v>271</v>
      </c>
      <c r="O613">
        <v>3</v>
      </c>
    </row>
    <row r="614" spans="13:15">
      <c r="N614" t="s">
        <v>312</v>
      </c>
      <c r="O614">
        <v>3</v>
      </c>
    </row>
    <row r="615" spans="13:15">
      <c r="N615" t="s">
        <v>425</v>
      </c>
      <c r="O615">
        <v>4</v>
      </c>
    </row>
    <row r="616" spans="13:15">
      <c r="N616" t="s">
        <v>557</v>
      </c>
      <c r="O616">
        <v>3</v>
      </c>
    </row>
    <row r="617" spans="13:15">
      <c r="N617" t="s">
        <v>593</v>
      </c>
      <c r="O617">
        <v>3</v>
      </c>
    </row>
    <row r="618" spans="13:15">
      <c r="M618" t="s">
        <v>718</v>
      </c>
      <c r="O618">
        <v>1743</v>
      </c>
    </row>
  </sheetData>
  <conditionalFormatting sqref="S175:S306">
    <cfRule type="duplicateValues" dxfId="0" priority="2"/>
  </conditionalFormatting>
  <pageMargins left="0.75" right="0.75" top="1" bottom="1" header="0.5" footer="0.5"/>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B47A79-9260-48AE-B590-AE19BCE57B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Students</vt:lpstr>
      <vt:lpstr>Courses</vt:lpstr>
      <vt:lpstr>Problem statement</vt:lpstr>
      <vt:lpstr>Enrollments</vt:lpstr>
      <vt:lpstr>Combined</vt:lpstr>
      <vt:lpstr>Dashboard</vt:lpstr>
      <vt:lpstr>Problem1</vt:lpstr>
      <vt:lpstr>Problem2</vt:lpstr>
      <vt:lpstr>Problem3</vt:lpstr>
      <vt:lpstr>Problem4</vt:lpstr>
      <vt:lpstr>Problem5</vt:lpstr>
      <vt:lpstr>Problem6</vt:lpstr>
      <vt:lpstr>Tab_1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 Gaikwad</cp:lastModifiedBy>
  <dcterms:created xsi:type="dcterms:W3CDTF">2025-09-12T05:54:00Z</dcterms:created>
  <dcterms:modified xsi:type="dcterms:W3CDTF">2025-09-20T07:26:02Z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615B0C440C5D4CF5813771AB2D19B83E_12</vt:lpwstr>
  </property>
  <property fmtid="{D5CDD505-2E9C-101B-9397-08002B2CF9AE}" pid="3" name="KSOProductBuildVer">
    <vt:lpwstr>1033-12.2.0.22549</vt:lpwstr>
  </property>
</Properties>
</file>